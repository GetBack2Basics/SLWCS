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LogFrame" sheetId="2" r:id="rId5"/>
    <sheet state="visible" name="MonthlySchedule" sheetId="3" r:id="rId6"/>
    <sheet state="visible" name="TimeBudget" sheetId="4" r:id="rId7"/>
  </sheets>
  <definedNames/>
  <calcPr/>
</workbook>
</file>

<file path=xl/sharedStrings.xml><?xml version="1.0" encoding="utf-8"?>
<sst xmlns="http://schemas.openxmlformats.org/spreadsheetml/2006/main" count="663" uniqueCount="414">
  <si>
    <t>Action Plan for the year 2007</t>
  </si>
  <si>
    <t>Project Information Year 2007 - (Jan to Dec)</t>
  </si>
  <si>
    <t>Name of each and every project / Program to be implemented</t>
  </si>
  <si>
    <t>Geographical location</t>
  </si>
  <si>
    <t>Period</t>
  </si>
  <si>
    <t>Source of Funding</t>
  </si>
  <si>
    <t>Estimated cost of each program separately</t>
  </si>
  <si>
    <t>No of Beneficiaries</t>
  </si>
  <si>
    <t>Leader</t>
  </si>
  <si>
    <t>SLWCS Personnel</t>
  </si>
  <si>
    <t>(Villages)</t>
  </si>
  <si>
    <t>Division</t>
  </si>
  <si>
    <t>District</t>
  </si>
  <si>
    <t>One-time</t>
  </si>
  <si>
    <t>Salaries</t>
  </si>
  <si>
    <t>Operational</t>
  </si>
  <si>
    <t>Transport</t>
  </si>
  <si>
    <t>Infrastructure</t>
  </si>
  <si>
    <t>Equipment</t>
  </si>
  <si>
    <t>Direct</t>
  </si>
  <si>
    <t>Indirect</t>
  </si>
  <si>
    <t>Saving Elephants by Helping People</t>
  </si>
  <si>
    <t>All</t>
  </si>
  <si>
    <t>Wilgamuwa</t>
  </si>
  <si>
    <t>Matale</t>
  </si>
  <si>
    <t>since 1997</t>
  </si>
  <si>
    <t>Somawathie</t>
  </si>
  <si>
    <t>Polonnaruwa</t>
  </si>
  <si>
    <t>since 2004</t>
  </si>
  <si>
    <t>Lahugala</t>
  </si>
  <si>
    <t>Ampara</t>
  </si>
  <si>
    <t>2006 onwards</t>
  </si>
  <si>
    <t>Pottuvil</t>
  </si>
  <si>
    <t>Karuwalagusweva</t>
  </si>
  <si>
    <t>Putallam</t>
  </si>
  <si>
    <t>2007 onwards</t>
  </si>
  <si>
    <t>Coastal |Conservation by Helping People</t>
  </si>
  <si>
    <t>Modarapalase</t>
  </si>
  <si>
    <t>Tissamaharama</t>
  </si>
  <si>
    <t>Hambantota</t>
  </si>
  <si>
    <t>Kalpitiya</t>
  </si>
  <si>
    <t>2006 Onwards</t>
  </si>
  <si>
    <t>Karaitive</t>
  </si>
  <si>
    <t>2007 Onwards</t>
  </si>
  <si>
    <t>2008 Onwards</t>
  </si>
  <si>
    <t>Log Frame of Projects, Activities, Expected results, assumed risks and mitigation methods</t>
  </si>
  <si>
    <t>Please read each description fully and fill in all columns with your name on them</t>
  </si>
  <si>
    <t>Add rows with any projects which have not been mentioned.</t>
  </si>
  <si>
    <t>Q=Quarter and 1 (Jan-Mar), 2 (April-June), 3 (July-Sept), 4 (Oct-Dec)</t>
  </si>
  <si>
    <t>Estimated # of days for year</t>
  </si>
  <si>
    <t>Project Name</t>
  </si>
  <si>
    <t>Leader(s)</t>
  </si>
  <si>
    <t>Sub-Project</t>
  </si>
  <si>
    <t>Activity</t>
  </si>
  <si>
    <t>Objective Purpose / Comments</t>
  </si>
  <si>
    <t>Needed for Project</t>
  </si>
  <si>
    <t>Your Commitment</t>
  </si>
  <si>
    <t>Quarterly Performance Indicator</t>
  </si>
  <si>
    <t>Annual Performance Impact</t>
  </si>
  <si>
    <t>Assumption</t>
  </si>
  <si>
    <t>Risks</t>
  </si>
  <si>
    <t>Mitigation</t>
  </si>
  <si>
    <t>What is the activity that is planned</t>
  </si>
  <si>
    <t>What is the purpose of doing this activity</t>
  </si>
  <si>
    <t>Estimate the number of days it will take to complete the annual objective. This is number of days required to complete your stated objectives and Q/Annual indicators. This is for the whole project with other staff/volunteers</t>
  </si>
  <si>
    <t>Estimate the number of days that YOU need to work on this project as the project leader.</t>
  </si>
  <si>
    <t>What shows that the objective has been reached or is in the process of being reached every quarter</t>
  </si>
  <si>
    <t>What shows that the objective has been reached at the end of 2007</t>
  </si>
  <si>
    <t>What conditions are you assiming exist so that the quarterly indicators and annual impact can be achieved</t>
  </si>
  <si>
    <t>What are the risks that could cause your objective to not be realized..</t>
  </si>
  <si>
    <t>Any stated risk should have a mitigating measure</t>
  </si>
  <si>
    <t>Personnel/Administration</t>
  </si>
  <si>
    <t>Ajith</t>
  </si>
  <si>
    <t>Administration</t>
  </si>
  <si>
    <t>staff payments after confirmation ,insurance facilities, management/operational need, monitoring of policy decisions</t>
  </si>
  <si>
    <t>do staff matters to their satisfaction and improve efficiency</t>
  </si>
  <si>
    <t>management/HR review.</t>
  </si>
  <si>
    <t>Financial Operations</t>
  </si>
  <si>
    <t>Ajith/Seneka</t>
  </si>
  <si>
    <t>Finance</t>
  </si>
  <si>
    <t>check all vouchers,make payments,updating genaral ledger,reconcilation,coordinate with banks &amp; other organaizations,Auditmatters,tax matters</t>
  </si>
  <si>
    <t>to have a upto date finance matters with transparancy</t>
  </si>
  <si>
    <t>quarterly-financial update to board</t>
  </si>
  <si>
    <t>Annual audited accounts per project and for whole society</t>
  </si>
  <si>
    <t>depends on income</t>
  </si>
  <si>
    <t>devise methods of cost-cutting and budgeting. Help in obtaining grants</t>
  </si>
  <si>
    <t>New Projects</t>
  </si>
  <si>
    <t>All research staff</t>
  </si>
  <si>
    <t>Design of new projects and finding grants</t>
  </si>
  <si>
    <t>Publication</t>
  </si>
  <si>
    <t>All Research staff</t>
  </si>
  <si>
    <t>Publication of findings in journals and scientific magazines</t>
  </si>
  <si>
    <t>SEHP-Wasgamuwa</t>
  </si>
  <si>
    <t>all staff</t>
  </si>
  <si>
    <t>stakeholder meetings</t>
  </si>
  <si>
    <t>meetings with all stakeholders in the project area (local government, community, DWC, Irrigation, Farmer society and other NGO etc.)</t>
  </si>
  <si>
    <t>to share information, reduce misinformation and increase efficiency to achieve overall objective of sustainable conservation and development.</t>
  </si>
  <si>
    <t>meeting every quarter with every stakeholder seperately</t>
  </si>
  <si>
    <t>annual meeting with all parties and better local support and cordination</t>
  </si>
  <si>
    <t>volunteer</t>
  </si>
  <si>
    <t>safety, science, satisfaction</t>
  </si>
  <si>
    <t>mid-term and debrief review and discussion/analysis of results</t>
  </si>
  <si>
    <t>have the volunteers had a safe experience, has it helped or degraded the scientific objectives and are the volunteers generally happy with there experience</t>
  </si>
  <si>
    <t>Former Ford Project</t>
  </si>
  <si>
    <t>Anne</t>
  </si>
  <si>
    <t>completion writing and submission of grant</t>
  </si>
  <si>
    <t>finish all writing, have Shane re-write his sections, have Ravi and Chandeep plus Board submit comments, suggestions;  re-write and submit grant</t>
  </si>
  <si>
    <t>to provide funding for operations budget plus entire new HEC project for SLWCS;  expansion of SLWCS into NWR</t>
  </si>
  <si>
    <t>staff will not be able to apply these new skills in my absence</t>
  </si>
  <si>
    <t>available via email (or phone call) to provide support and help, and I will be making regular trips to Sri Lanka to trouble shoot and provide support</t>
  </si>
  <si>
    <t>Research Reports</t>
  </si>
  <si>
    <t>this is unknown until current grant proposal is finalized (will happen by end of January 2007)</t>
  </si>
  <si>
    <t>Staff Training</t>
  </si>
  <si>
    <t>Workshop 1 (10 days)</t>
  </si>
  <si>
    <t>development and maintenance of a photographic identification library for individual Asian elephants, planning and implementation of a census of the local elephant population at each project site, and methods of best practice for conducting regular inter-observer reliability tests during all types of data collection</t>
  </si>
  <si>
    <t>Workshop 2 (10 days)</t>
  </si>
  <si>
    <t>methods for data warehousing and management;  set-up of databases for Former Ford project</t>
  </si>
  <si>
    <t>Workshop 3 (10 days)</t>
  </si>
  <si>
    <t>standardized data analysis techniques</t>
  </si>
  <si>
    <t>Workshop 4 (10 days)</t>
  </si>
  <si>
    <t>techniques for effectively communicating scientific information to diverse audiences;  plus misc. topics as needed</t>
  </si>
  <si>
    <t>CCHP-Kirinda</t>
  </si>
  <si>
    <t>Chandeep</t>
  </si>
  <si>
    <t>Comprehensive Eval</t>
  </si>
  <si>
    <t>Computer Donation</t>
  </si>
  <si>
    <t>donation of computers</t>
  </si>
  <si>
    <t>computers to schools, stakeholders in project areas</t>
  </si>
  <si>
    <t>community capacity building</t>
  </si>
  <si>
    <t>training center-wasgamuwa</t>
  </si>
  <si>
    <t>construct, and operate a computer education center in wasgamuwa</t>
  </si>
  <si>
    <t>q1-complete budget and find funding, q2-construction, q3-equiping training, staff develoment.</t>
  </si>
  <si>
    <t>fully function training center in Wilgamuwa DSD</t>
  </si>
  <si>
    <t>funds raised as scheduled</t>
  </si>
  <si>
    <t>lack of funds</t>
  </si>
  <si>
    <t>proposals to multiple international and local agencies and working through volunteer partners</t>
  </si>
  <si>
    <t>Media</t>
  </si>
  <si>
    <t>SLWCS Shirts</t>
  </si>
  <si>
    <t>Design/Production of shirts</t>
  </si>
  <si>
    <t>for sale to volunteers and gifts to important visitors</t>
  </si>
  <si>
    <t>q1 -completion</t>
  </si>
  <si>
    <t>distribution and sales profit</t>
  </si>
  <si>
    <t>SLWCS video</t>
  </si>
  <si>
    <t>Creation of promotional video</t>
  </si>
  <si>
    <t>for funding agencies and potential volunteers. Increases profile of SLWCS</t>
  </si>
  <si>
    <t>DVD's and web-based versions available for distribution and sale</t>
  </si>
  <si>
    <t>Operations</t>
  </si>
  <si>
    <t>Management and overview of all staff, and activities of the society in SL plus cordination with Ravi/US Board</t>
  </si>
  <si>
    <t>can not be defined as this takes all SL activities</t>
  </si>
  <si>
    <t>Quarterly update to board. Q1, operations assistant is hired, devolution process initiated</t>
  </si>
  <si>
    <t>SLWCS operations/project goals are met</t>
  </si>
  <si>
    <t>SEHP-Lahugala</t>
  </si>
  <si>
    <t>GIS</t>
  </si>
  <si>
    <t>necessary for planning of research projects and for stakeholder meetings/maintainance of fence</t>
  </si>
  <si>
    <t>GIS data collected in Q2</t>
  </si>
  <si>
    <t>Map produced in Q2 and updated as new information is gathered</t>
  </si>
  <si>
    <t>SEHP-Somawathiya</t>
  </si>
  <si>
    <t>Archeological Plans</t>
  </si>
  <si>
    <t>Q2-baseline surveys and plan is produced</t>
  </si>
  <si>
    <t>preliminary dig result written up along with 2008/long term plans</t>
  </si>
  <si>
    <t>Partnership with Archeology department and funding for prelim digs</t>
  </si>
  <si>
    <t>Volunteer sign up</t>
  </si>
  <si>
    <t>discussion with volunteer companies and design of volunteer program</t>
  </si>
  <si>
    <t>q4-volunteer/project plan produced</t>
  </si>
  <si>
    <t>Agreements with volunteer companies/travel agencies</t>
  </si>
  <si>
    <t>structure completed/research staff-plan designed</t>
  </si>
  <si>
    <t>Terrorism</t>
  </si>
  <si>
    <t>good information contacts and continual re-evaluation of risk factors</t>
  </si>
  <si>
    <t>Identification of trails which leopards/bears/prey species use</t>
  </si>
  <si>
    <t>necessary for organization of further studies, setting up camera traps etc to look at density, range etc</t>
  </si>
  <si>
    <t>GIS data collected and entered in first 3 quarters</t>
  </si>
  <si>
    <t>GIS Info and maps used to improve individual research projects and community planning</t>
  </si>
  <si>
    <t>Biodiversity mapping</t>
  </si>
  <si>
    <t>to look at habitat use and landscape level planning</t>
  </si>
  <si>
    <t>HEC/HLC Mapping</t>
  </si>
  <si>
    <t>Analysis of GIS data from all other research projects</t>
  </si>
  <si>
    <t>for research papers and use in community planning and systems of long term sustainable development and conservation</t>
  </si>
  <si>
    <t>Research paper outline written</t>
  </si>
  <si>
    <t>Volunteer Programs</t>
  </si>
  <si>
    <t>current partners</t>
  </si>
  <si>
    <t>Labour, Revenue Generation and international publicity of SLWCS/Conservation in SL</t>
  </si>
  <si>
    <t>communication with partners/volunteers and updated volunteer demographics (with Chinthaka)</t>
  </si>
  <si>
    <t>Significant funding for SLWCS operations</t>
  </si>
  <si>
    <t>volunteers continue to come</t>
  </si>
  <si>
    <t>terrorism</t>
  </si>
  <si>
    <t>continually updating volunteer companies and security protocols in place</t>
  </si>
  <si>
    <t>new avenues</t>
  </si>
  <si>
    <t>agreements with companies / visits from new volunteers</t>
  </si>
  <si>
    <t>dialogue initiated with companies/individuals</t>
  </si>
  <si>
    <t>signing of agreements</t>
  </si>
  <si>
    <t>interest in SLWCS volunteer projects</t>
  </si>
  <si>
    <t>Web</t>
  </si>
  <si>
    <t>re-design</t>
  </si>
  <si>
    <t>total re-design to increase usefulness and remove dead links</t>
  </si>
  <si>
    <t>plan completed -need peer review. q2 -completion</t>
  </si>
  <si>
    <t>impact is difficult to measure as it is a information base</t>
  </si>
  <si>
    <t>other higher priority projects don't come up often enough and a volunteer is found</t>
  </si>
  <si>
    <t>prioritization</t>
  </si>
  <si>
    <t>work done by other person and only to oversee</t>
  </si>
  <si>
    <t>Updation</t>
  </si>
  <si>
    <t>to keep information current</t>
  </si>
  <si>
    <t>website is one of the most important resources for people to find out about SLWCS's work</t>
  </si>
  <si>
    <t>Chandeep/Amarasena</t>
  </si>
  <si>
    <t>Construction</t>
  </si>
  <si>
    <t>Construction of field house</t>
  </si>
  <si>
    <t>1. basic structure completed 2, Fittings</t>
  </si>
  <si>
    <t>Completed structure (July 2007)</t>
  </si>
  <si>
    <t>Weather</t>
  </si>
  <si>
    <t>if floods persist construction will be delayed</t>
  </si>
  <si>
    <t>Chandeep/Chandima</t>
  </si>
  <si>
    <t>Research Plan</t>
  </si>
  <si>
    <t>pre-biodiversity surveys and GIS work along with write-up on along with 2008/long term plans</t>
  </si>
  <si>
    <t>Approval by DWC and funding for exploratory surveys</t>
  </si>
  <si>
    <t>Logistics Operations</t>
  </si>
  <si>
    <t>Chandeep/Logistics staff</t>
  </si>
  <si>
    <t>Pusseleya field house construction</t>
  </si>
  <si>
    <t>Q1 - plans approved, Q2 -funding secured, Q4 -construction completed</t>
  </si>
  <si>
    <t>new field house constructed and furnished</t>
  </si>
  <si>
    <t>budget approved</t>
  </si>
  <si>
    <t>if budget is not approved</t>
  </si>
  <si>
    <t>temporary repairs to house will need to be done at least by mid Q2 with available funds</t>
  </si>
  <si>
    <t>repair/maintenance of vehicles</t>
  </si>
  <si>
    <t>to keep costs low on outside hires</t>
  </si>
  <si>
    <t>vehicles in running condition</t>
  </si>
  <si>
    <t>minimal delays due to non-functioning vehicles</t>
  </si>
  <si>
    <t>budget for repair of old vehicles is sufficient and staff have time to attend to them</t>
  </si>
  <si>
    <t>staff carelessnes and field conditions</t>
  </si>
  <si>
    <t>traing and punative measures and repairing road system with community support</t>
  </si>
  <si>
    <t>Restoration of Landrover</t>
  </si>
  <si>
    <t>for Somawathie or Wasgamuwa</t>
  </si>
  <si>
    <t>Q1 -vehicle ready</t>
  </si>
  <si>
    <t>CCHP-Kalpitiya</t>
  </si>
  <si>
    <t>Chandima</t>
  </si>
  <si>
    <t>Avifaunal survey</t>
  </si>
  <si>
    <t>Biodiversity</t>
  </si>
  <si>
    <t>Faunal &amp; Floral Survey</t>
  </si>
  <si>
    <t>submit final report by the end of the 2nd qarter</t>
  </si>
  <si>
    <t>intiate pilot turtle project</t>
  </si>
  <si>
    <t>"study the nesting behavior of the sea turtle from modarapalaa to Kirinda</t>
  </si>
  <si>
    <t>develop a partnership with other research organizations working on turtle conservation in the area"</t>
  </si>
  <si>
    <t>to be discued and planned</t>
  </si>
  <si>
    <t>depends on CIDA/USF&amp;W grant</t>
  </si>
  <si>
    <t>look for other grants</t>
  </si>
  <si>
    <t>Avifaunal studies</t>
  </si>
  <si>
    <t>Study habitat selection of forest birds in Wilgmuwa/Laggala DSD</t>
  </si>
  <si>
    <t>q1-prepare training protocols and identify study area. Train FS as leader. Q2,Q3-reports, Q4-annual report and presentation.</t>
  </si>
  <si>
    <t>Writing scientific papers by the end of 8th qarter</t>
  </si>
  <si>
    <t>at leat one field scout/long term volunteer/ms'c student is capable/recruited to independtly carry out the research</t>
  </si>
  <si>
    <t>leader is not found</t>
  </si>
  <si>
    <t>more time in training and looking for potential leader locally or nationally.</t>
  </si>
  <si>
    <t>Evaluate the effects of land use patterns on forest birds and butterflies in Wilgmuwa/Laggala DSD</t>
  </si>
  <si>
    <t>Identify and evaluate ecotourism (ornitourisum) potential of selected area in Wasgamuwa and Wilgmuwa/Laggala DSD</t>
  </si>
  <si>
    <t>Butterfly Studies</t>
  </si>
  <si>
    <t>Study the butterfly diversity and abundance in different habitat types in Wilgmuwa/Laggala DSD</t>
  </si>
  <si>
    <t>Flora</t>
  </si>
  <si>
    <t>Document medicinal plants in Wilgmuwa/Laggala DSD and identify their distribution and medicinal value</t>
  </si>
  <si>
    <t>prepare a medicinal plant giude for the area</t>
  </si>
  <si>
    <t>General Faunal &amp; Floral Survey</t>
  </si>
  <si>
    <t>Complete a baseline biiodiversity survey of the entire project area in Wilgamuwa and Laggala DSD's</t>
  </si>
  <si>
    <t>q1,2,3-surveys and reports. Q3-draft map.</t>
  </si>
  <si>
    <t>prepare checklist and leaflets for each group &amp; identify the biodiversity hot spot in the area</t>
  </si>
  <si>
    <t>problems with authorities</t>
  </si>
  <si>
    <t>work along with DWC/FD and local GA's</t>
  </si>
  <si>
    <t>Biodiversity reports</t>
  </si>
  <si>
    <t>Chinthaka</t>
  </si>
  <si>
    <t>Management/Administration</t>
  </si>
  <si>
    <t>All Wasgamuwa based staff</t>
  </si>
  <si>
    <t>point person for all other SLWCS employees dealing with Wasgamuwa</t>
  </si>
  <si>
    <t>Cleaning and maintenance of vehicles, bicycles and other equipment</t>
  </si>
  <si>
    <t>this will be done by all staff and volunteers on a pre-arranged schedule.</t>
  </si>
  <si>
    <t>that equipment is in working condition and delays are minimal</t>
  </si>
  <si>
    <t>Clearing/Cleaning of field bases</t>
  </si>
  <si>
    <t>that field bases are organised and clean</t>
  </si>
  <si>
    <t>Packing/Storing and Stock taking of all equipment</t>
  </si>
  <si>
    <t>before departure of groups of volunteers/at least every two months.</t>
  </si>
  <si>
    <t>quarterly update on status of equipment</t>
  </si>
  <si>
    <t>Teaching Computers</t>
  </si>
  <si>
    <t>Teaching English</t>
  </si>
  <si>
    <t>Volunteer program</t>
  </si>
  <si>
    <t>Coordination of volunteers and research/teaching activities</t>
  </si>
  <si>
    <t>SEHP-NWR</t>
  </si>
  <si>
    <t>FUNDING APPROVAL NEEDED BEFORE PROJECT IS INITIATED</t>
  </si>
  <si>
    <t>Harsha</t>
  </si>
  <si>
    <t>Elephant Research</t>
  </si>
  <si>
    <t>Tank monitoring</t>
  </si>
  <si>
    <t>Usage of tanks and presence and absence of elephants in four selected tanks</t>
  </si>
  <si>
    <t>q1-re-eval to see if to continue and report</t>
  </si>
  <si>
    <t>Indication of any trends/ seansonality etc</t>
  </si>
  <si>
    <t>At least part of the tanks can be walked and monitored for abcense and presence of dung every month through out the year</t>
  </si>
  <si>
    <t>Presence of elephants and tanks are full and make imposible to monitor the dung</t>
  </si>
  <si>
    <t>Presence of elephants- Field scouts were trained to walk in a formation which will have the minimum risk and trained what to do in an imergency.</t>
  </si>
  <si>
    <t>Trail transects</t>
  </si>
  <si>
    <t>Usage of land and presence and absence of elephants in selected areas from the knuckles foot hils to Wasgomuwa national park</t>
  </si>
  <si>
    <t>Data collected and entered in first 3 quarters</t>
  </si>
  <si>
    <t>Elephants are present at least part of the time of the year</t>
  </si>
  <si>
    <t>Presence of elephants which some times abadon the activity</t>
  </si>
  <si>
    <t>Presence of elephants- Field scouts were trained to walk in a formation which will have the minimum risk and trained what to do in an emergency.</t>
  </si>
  <si>
    <t>Road transects out side the park.</t>
  </si>
  <si>
    <t>Activity Stopped</t>
  </si>
  <si>
    <t>q1-report on why this won't be continued</t>
  </si>
  <si>
    <t>Road transects inside.</t>
  </si>
  <si>
    <t>Park ID</t>
  </si>
  <si>
    <t>To develop a photo catelog to identify each individual</t>
  </si>
  <si>
    <t>q1-draft catalogue produced. Q2-develop methodology for behavioural studies</t>
  </si>
  <si>
    <t>elephant ID catalgoue produced and behavioural studies initiated</t>
  </si>
  <si>
    <t>Functioning vehical</t>
  </si>
  <si>
    <t>Difficulty in identify each indvidual as the activity ios totally personalised and manualy don</t>
  </si>
  <si>
    <t>Carry a Satalite phone in case an emergency.</t>
  </si>
  <si>
    <t>Fence monitoring:</t>
  </si>
  <si>
    <t>To monitor and comapir three fences and evaluate the efectiveness of elepctric fence as a mitigation method to HEC</t>
  </si>
  <si>
    <t>every q-data analysed and meeting w/ stakeholders. Need to decide of new fence line. Jan 2nd week 1st meeting to decide on next step</t>
  </si>
  <si>
    <t>All fences are working at least part of the year and not totally abandoned</t>
  </si>
  <si>
    <t>Difficulty in walking in some part of the fences</t>
  </si>
  <si>
    <t>Risks related to walking and snakes and presence of elephants. - Stand-by vehicle and Satalite phone.</t>
  </si>
  <si>
    <t>Elephant Observation</t>
  </si>
  <si>
    <t>Absence/presence and time-line of elephans outside the park</t>
  </si>
  <si>
    <t>q1-3; progress reports, q4-evaluation</t>
  </si>
  <si>
    <t>Indication of any trends</t>
  </si>
  <si>
    <t>N/A</t>
  </si>
  <si>
    <t>Nishantha</t>
  </si>
  <si>
    <t>Socio-Economic</t>
  </si>
  <si>
    <t>PRA  with communities + Stakeholder discussion</t>
  </si>
  <si>
    <t>To find out the socio economic condition of the Modarapalassa coastal village</t>
  </si>
  <si>
    <t>Report completed by Jan 31st</t>
  </si>
  <si>
    <t>Agro forestry</t>
  </si>
  <si>
    <t>depends on approval of CIDA grant</t>
  </si>
  <si>
    <t>Fencing</t>
  </si>
  <si>
    <t>to get information that can be relayed to the local fence committee, who maintains and operates the fence. It also enables us to see what goes wrong with fences so that their design and management can be improved.</t>
  </si>
  <si>
    <t>to be decided by end of Q1</t>
  </si>
  <si>
    <t>Project Orange Elephant</t>
  </si>
  <si>
    <t>Citrus Plantation</t>
  </si>
  <si>
    <t>The aim of the project is to improve the livelihood of the people who have suffered with elephant damages and to minimize HEC through the concept of crop diversification, and provision of an economic buffer.</t>
  </si>
  <si>
    <t>q1-q3-data collection and update. Q4-infilling&amp;initiating agave plantation. Annual Report</t>
  </si>
  <si>
    <t>Crop growth rate studied and Home garden crop damage reduced</t>
  </si>
  <si>
    <t>To achieve objective two to three year monitoring and evaluation is required</t>
  </si>
  <si>
    <t>competition between citrus plants and other home garden crop will cause to poor crop growth rate and minimize expected yield</t>
  </si>
  <si>
    <t>Removal of un productive plants</t>
  </si>
  <si>
    <t>Socio-economic research</t>
  </si>
  <si>
    <t>Elephant Damage Surveys</t>
  </si>
  <si>
    <t>The aim is to build up a picture of human/elephant conflict in the area in order to develop solution strategies.</t>
  </si>
  <si>
    <t>q1-q3-data collection and update. Q4-final report</t>
  </si>
  <si>
    <t>assume the areas that are  closer to the elephant habitat and the fences will show as the high conflict areas</t>
  </si>
  <si>
    <t>respondents will expect any sort of compensation to provide details</t>
  </si>
  <si>
    <t>Introduction of animal husbandry (Goat Management), previous fence results, cirtrus, english/computers</t>
  </si>
  <si>
    <t>Village Headman (GND) Surveys (Wilgamuwa &amp; Laggala DSD)</t>
  </si>
  <si>
    <t>To find out the thoughts and perception of communities on proposed hydro power project.</t>
  </si>
  <si>
    <t>a report on the impact of proposed project</t>
  </si>
  <si>
    <t>HEC and HLC assessment surveys (Laggala+Wilgamuwa)</t>
  </si>
  <si>
    <t>The aim of the survey is to assess the HEC &amp; HLC and to find out effectiveness of existing mitigation methods. To identify potential solutions for leading environmental issues through community participation. To identify the socio economic condition of the respective GND</t>
  </si>
  <si>
    <t>A report on the assessment of HEC &amp; HLC</t>
  </si>
  <si>
    <t>Nishantha/Chandima/Chandeep/upul</t>
  </si>
  <si>
    <t>Ratnayake</t>
  </si>
  <si>
    <t>Farming</t>
  </si>
  <si>
    <t>Data on farming operations (such as number of eggs produced, milk production, health issues, paddy/fruit production)</t>
  </si>
  <si>
    <t>Revenue Generation</t>
  </si>
  <si>
    <t>NOTES</t>
  </si>
  <si>
    <t xml:space="preserve">The number of days mentioned here includes field days and office/home days to get the work done. A day should be considered at least 7 hours work so you may have more than 22 days but less than 7 hours each day since we have flexi hours/days. </t>
  </si>
  <si>
    <t>Training is time spent learning about your particular field that is apart from any other project</t>
  </si>
  <si>
    <t>Project</t>
  </si>
  <si>
    <t>Name</t>
  </si>
  <si>
    <t>Number of Days Per Month</t>
  </si>
  <si>
    <t>Planned Days</t>
  </si>
  <si>
    <t>January</t>
  </si>
  <si>
    <t>February</t>
  </si>
  <si>
    <t>March</t>
  </si>
  <si>
    <t>April</t>
  </si>
  <si>
    <t>May</t>
  </si>
  <si>
    <t>June</t>
  </si>
  <si>
    <t>July</t>
  </si>
  <si>
    <t>August</t>
  </si>
  <si>
    <t>September</t>
  </si>
  <si>
    <t>October</t>
  </si>
  <si>
    <t>November</t>
  </si>
  <si>
    <t>December</t>
  </si>
  <si>
    <t>Wasgamuwa</t>
  </si>
  <si>
    <t>Kirinda</t>
  </si>
  <si>
    <t>New proposals, and other project reports</t>
  </si>
  <si>
    <t>admin/finance/ops</t>
  </si>
  <si>
    <t>Training</t>
  </si>
  <si>
    <t>Total Days per Month</t>
  </si>
  <si>
    <t>ET</t>
  </si>
  <si>
    <t>ACTIVITY TIME ESTIMATES</t>
  </si>
  <si>
    <t>Estimate 8 hour work days for 22 days per month (i.e approx 180-200 hours per month)</t>
  </si>
  <si>
    <t>Please fill in all blue squares</t>
  </si>
  <si>
    <t>Some general activities are listed -simply put in the hours.</t>
  </si>
  <si>
    <t>Please fill in the undefined activity plus number of hours you estimate.</t>
  </si>
  <si>
    <t>Other Activities</t>
  </si>
  <si>
    <t>Total Hours / month</t>
  </si>
  <si>
    <t>Hours</t>
  </si>
  <si>
    <t>Reference</t>
  </si>
  <si>
    <t>Reports</t>
  </si>
  <si>
    <t>Travel</t>
  </si>
  <si>
    <t>Maintainance</t>
  </si>
  <si>
    <t>Miscalaneous</t>
  </si>
  <si>
    <t>Other</t>
  </si>
  <si>
    <t>Total</t>
  </si>
  <si>
    <t>Organisation</t>
  </si>
  <si>
    <t>Volunteer</t>
  </si>
  <si>
    <t>Somawathie/Kirinda(CCHP)/Lahugala</t>
  </si>
  <si>
    <t>Cordination/Correspondance with Ravi/US Board etc</t>
  </si>
  <si>
    <t>New Proposal &amp; other field visits</t>
  </si>
  <si>
    <t>Planning</t>
  </si>
  <si>
    <t>Literature revive</t>
  </si>
  <si>
    <t>Report writing</t>
  </si>
  <si>
    <t>Research</t>
  </si>
  <si>
    <t>Volunteers</t>
  </si>
  <si>
    <t>Filed Scouts</t>
  </si>
  <si>
    <t>Corespondence/Internet</t>
  </si>
  <si>
    <t>Ajith (12 days / month)</t>
  </si>
  <si>
    <t>Seneka  (12 days / month)</t>
  </si>
  <si>
    <t>Amarasena</t>
  </si>
  <si>
    <t>Upul</t>
  </si>
  <si>
    <t>Darshana</t>
  </si>
  <si>
    <t>Sampath</t>
  </si>
  <si>
    <t>Rathnayake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</si>
</sst>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font>
    <font>
      <b/>
      <sz val="12.0"/>
      <color rgb="FF000000"/>
    </font>
    <font>
      <b/>
      <sz val="10.0"/>
      <color rgb="FF000000"/>
    </font>
    <font>
      <sz val="10.0"/>
      <color rgb="FF000000"/>
    </font>
    <font/>
    <font>
      <i/>
      <sz val="10.0"/>
      <color rgb="FF000000"/>
    </font>
    <font>
      <i/>
      <sz val="7.0"/>
      <color rgb="FF000000"/>
    </font>
    <font>
      <sz val="8.0"/>
      <color rgb="FF000000"/>
    </font>
    <font>
      <sz val="12.0"/>
      <color rgb="FF000000"/>
      <name val="Times New Roman"/>
    </font>
    <font>
      <sz val="8.0"/>
      <color rgb="FF000000"/>
      <name val="Times New Roman"/>
    </font>
    <font>
      <b/>
      <sz val="10.0"/>
    </font>
    <font>
      <i/>
      <sz val="10.0"/>
    </font>
    <font>
      <sz val="7.0"/>
      <color rgb="FF000000"/>
    </font>
  </fonts>
  <fills count="5">
    <fill>
      <patternFill patternType="none"/>
    </fill>
    <fill>
      <patternFill patternType="lightGray"/>
    </fill>
    <fill>
      <patternFill patternType="solid">
        <fgColor rgb="FFFFCC00"/>
        <bgColor rgb="FFFFCC00"/>
      </patternFill>
    </fill>
    <fill>
      <patternFill patternType="solid">
        <fgColor rgb="FFFFFF99"/>
        <bgColor rgb="FFFFFF99"/>
      </patternFill>
    </fill>
    <fill>
      <patternFill patternType="solid">
        <fgColor rgb="FF99CCFF"/>
        <bgColor rgb="FF99CCFF"/>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1"/>
    </xf>
    <xf borderId="0" fillId="0" fontId="1" numFmtId="0" xfId="0" applyAlignment="1" applyFont="1">
      <alignment readingOrder="0" shrinkToFit="0" vertical="bottom" wrapText="0"/>
    </xf>
    <xf borderId="0" fillId="0" fontId="2" numFmtId="0" xfId="0" applyAlignment="1" applyFont="1">
      <alignment horizontal="center" readingOrder="0" shrinkToFit="0" vertical="bottom" wrapText="1"/>
    </xf>
    <xf borderId="0" fillId="0" fontId="2" numFmtId="0" xfId="0" applyAlignment="1" applyFont="1">
      <alignment horizontal="center" readingOrder="0" shrinkToFit="0" vertical="bottom" wrapText="0"/>
    </xf>
    <xf borderId="0" fillId="0" fontId="2" numFmtId="0" xfId="0" applyAlignment="1" applyFont="1">
      <alignment horizontal="center" shrinkToFit="0" vertical="bottom" wrapText="0"/>
    </xf>
    <xf borderId="0" fillId="0" fontId="2" numFmtId="0" xfId="0" applyAlignment="1" applyFont="1">
      <alignment readingOrder="0" shrinkToFit="0" vertical="bottom" wrapText="0"/>
    </xf>
    <xf borderId="0" fillId="0" fontId="3" numFmtId="0" xfId="0" applyAlignment="1" applyFont="1">
      <alignment horizontal="center" shrinkToFit="0" vertical="bottom" wrapText="0"/>
    </xf>
    <xf borderId="0" fillId="0" fontId="3" numFmtId="0" xfId="0" applyAlignment="1" applyFont="1">
      <alignment horizontal="center" readingOrder="0" shrinkToFit="0" vertical="bottom" wrapText="0"/>
    </xf>
    <xf borderId="0" fillId="0" fontId="4" numFmtId="0" xfId="0" applyAlignment="1" applyFont="1">
      <alignment readingOrder="0" shrinkToFit="0" wrapText="1"/>
    </xf>
    <xf borderId="0" fillId="0" fontId="3" numFmtId="0" xfId="0" applyAlignment="1" applyFont="1">
      <alignment readingOrder="0" shrinkToFit="0" vertical="bottom" wrapText="0"/>
    </xf>
    <xf borderId="0" fillId="0" fontId="5"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2" fontId="2" numFmtId="0" xfId="0" applyAlignment="1" applyFont="1">
      <alignment readingOrder="0" shrinkToFit="0" vertical="bottom" wrapText="0"/>
    </xf>
    <xf borderId="0" fillId="2" fontId="2" numFmtId="0" xfId="0" applyAlignment="1" applyFont="1">
      <alignment horizontal="center" readingOrder="0" shrinkToFit="0" vertical="bottom" wrapText="0"/>
    </xf>
    <xf borderId="0" fillId="2" fontId="2" numFmtId="0" xfId="0" applyAlignment="1" applyFont="1">
      <alignment horizontal="left" readingOrder="0" shrinkToFit="0" vertical="bottom" wrapText="0"/>
    </xf>
    <xf borderId="0" fillId="2" fontId="6" numFmtId="0" xfId="0" applyAlignment="1" applyFont="1">
      <alignment readingOrder="0" shrinkToFit="0" wrapText="1"/>
    </xf>
    <xf borderId="0" fillId="2" fontId="6" numFmtId="0" xfId="0" applyAlignment="1" applyFont="1">
      <alignment horizontal="center" readingOrder="0" shrinkToFit="0" vertical="bottom" wrapText="1"/>
    </xf>
    <xf borderId="0" fillId="2" fontId="6" numFmtId="0" xfId="0" applyAlignment="1" applyFont="1">
      <alignment horizontal="center" readingOrder="0" shrinkToFit="0" vertical="center" wrapText="1"/>
    </xf>
    <xf borderId="0" fillId="2" fontId="6" numFmtId="0" xfId="0" applyAlignment="1" applyFont="1">
      <alignment horizontal="left" readingOrder="0" shrinkToFit="0" vertical="bottom" wrapText="1"/>
    </xf>
    <xf borderId="0" fillId="0" fontId="7" numFmtId="0" xfId="0" applyAlignment="1" applyFont="1">
      <alignment horizontal="left" readingOrder="0" shrinkToFit="0" vertical="bottom" wrapText="1"/>
    </xf>
    <xf borderId="0" fillId="0" fontId="7" numFmtId="0" xfId="0" applyAlignment="1" applyFont="1">
      <alignment horizontal="left" shrinkToFit="0" vertical="bottom" wrapText="1"/>
    </xf>
    <xf borderId="0" fillId="0" fontId="7" numFmtId="0" xfId="0" applyAlignment="1" applyFont="1">
      <alignment horizontal="left" readingOrder="0" shrinkToFit="0" vertical="bottom" wrapText="0"/>
    </xf>
    <xf borderId="0" fillId="0" fontId="8" numFmtId="0" xfId="0" applyAlignment="1" applyFont="1">
      <alignment horizontal="left" shrinkToFit="0" vertical="bottom" wrapText="0"/>
    </xf>
    <xf borderId="0" fillId="0" fontId="7"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7" numFmtId="0" xfId="0" applyAlignment="1" applyFont="1">
      <alignment horizontal="left" shrinkToFit="0" vertical="center" wrapText="0"/>
    </xf>
    <xf borderId="0" fillId="0" fontId="7" numFmtId="0" xfId="0" applyAlignment="1" applyFont="1">
      <alignment horizontal="left" shrinkToFit="0" vertical="center" wrapText="1"/>
    </xf>
    <xf borderId="0" fillId="0" fontId="9" numFmtId="0" xfId="0" applyAlignment="1" applyFont="1">
      <alignment horizontal="left" readingOrder="0" shrinkToFit="0" vertical="bottom" wrapText="1"/>
    </xf>
    <xf borderId="0" fillId="0" fontId="9" numFmtId="0" xfId="0" applyAlignment="1" applyFont="1">
      <alignment horizontal="left" shrinkToFit="0" vertical="bottom" wrapText="1"/>
    </xf>
    <xf borderId="0" fillId="0" fontId="9" numFmtId="0" xfId="0" applyAlignment="1" applyFont="1">
      <alignment horizontal="left" readingOrder="0" shrinkToFit="0" vertical="center" wrapText="0"/>
    </xf>
    <xf borderId="0" fillId="0" fontId="9" numFmtId="0" xfId="0" applyAlignment="1" applyFont="1">
      <alignment horizontal="left" readingOrder="0" shrinkToFit="0" vertical="center" wrapText="1"/>
    </xf>
    <xf borderId="0" fillId="0" fontId="7" numFmtId="0" xfId="0" applyAlignment="1" applyFont="1">
      <alignment horizontal="center" shrinkToFit="0" vertical="bottom" wrapText="1"/>
    </xf>
    <xf borderId="0" fillId="0" fontId="10" numFmtId="0" xfId="0" applyAlignment="1" applyFont="1">
      <alignment readingOrder="0" shrinkToFit="0" wrapText="1"/>
    </xf>
    <xf borderId="0" fillId="0" fontId="11" numFmtId="0" xfId="0" applyAlignment="1" applyFont="1">
      <alignment readingOrder="0" shrinkToFit="0" wrapText="1"/>
    </xf>
    <xf borderId="0" fillId="0" fontId="10" numFmtId="0" xfId="0" applyAlignment="1" applyFont="1">
      <alignment horizontal="center" readingOrder="0" shrinkToFit="0" vertical="bottom" wrapText="1"/>
    </xf>
    <xf borderId="0" fillId="3" fontId="4" numFmtId="0" xfId="0" applyAlignment="1" applyFill="1" applyFont="1">
      <alignment shrinkToFit="0" wrapText="1"/>
    </xf>
    <xf borderId="0" fillId="3" fontId="4" numFmtId="0" xfId="0" applyAlignment="1" applyFont="1">
      <alignment readingOrder="0" shrinkToFit="0" wrapText="1"/>
    </xf>
    <xf borderId="0" fillId="0" fontId="5" numFmtId="0" xfId="0" applyAlignment="1" applyFont="1">
      <alignment shrinkToFit="0" vertical="bottom" wrapText="0"/>
    </xf>
    <xf borderId="0" fillId="0" fontId="2" numFmtId="0" xfId="0" applyAlignment="1" applyFont="1">
      <alignment shrinkToFit="0" vertical="bottom" wrapText="0"/>
    </xf>
    <xf borderId="0" fillId="4" fontId="12" numFmtId="0" xfId="0" applyAlignment="1" applyFill="1" applyFont="1">
      <alignment horizontal="left" readingOrder="0" shrinkToFit="0" vertical="bottom" wrapText="1"/>
    </xf>
    <xf borderId="0" fillId="4" fontId="12" numFmtId="0" xfId="0" applyAlignment="1" applyFont="1">
      <alignment horizontal="left" shrinkToFit="0" vertical="bottom" wrapText="1"/>
    </xf>
    <xf borderId="0" fillId="0" fontId="3" numFmtId="0" xfId="0" applyAlignment="1" applyFont="1">
      <alignment horizontal="left" shrinkToFit="0" vertical="bottom" wrapText="0"/>
    </xf>
    <xf borderId="0" fillId="0" fontId="3" numFmtId="0" xfId="0" applyAlignment="1" applyFont="1">
      <alignment horizontal="left"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0"/>
    </xf>
    <xf borderId="0" fillId="0" fontId="1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33.38"/>
    <col customWidth="1" min="2" max="2" width="20.0"/>
    <col customWidth="1" min="3" max="3" width="13.38"/>
    <col customWidth="1" min="4" max="4" width="10.5"/>
    <col customWidth="1" min="5" max="5" width="11.5"/>
    <col customWidth="1" min="6" max="9" width="17.13"/>
    <col customWidth="1" min="10" max="10" width="15.38"/>
    <col customWidth="1" min="11" max="11" width="18.0"/>
    <col customWidth="1" min="12" max="12" width="13.13"/>
    <col customWidth="1" min="13" max="14" width="7.63"/>
    <col customWidth="1" min="15" max="15" width="0.13"/>
    <col customWidth="1" min="16" max="16" width="11.5"/>
    <col customWidth="1" min="17" max="17" width="16.25"/>
    <col customWidth="1" min="18" max="18" width="8.13"/>
  </cols>
  <sheetData>
    <row r="1" ht="15.0" customHeight="1">
      <c r="A1" s="1" t="s">
        <v>0</v>
      </c>
    </row>
    <row r="2" ht="15.0" customHeight="1">
      <c r="A2" s="1" t="s">
        <v>1</v>
      </c>
    </row>
    <row r="4" ht="24.75" customHeight="1">
      <c r="A4" s="2" t="s">
        <v>2</v>
      </c>
      <c r="B4" s="3" t="s">
        <v>3</v>
      </c>
      <c r="E4" s="3" t="s">
        <v>4</v>
      </c>
      <c r="F4" s="3" t="s">
        <v>5</v>
      </c>
      <c r="G4" s="2" t="s">
        <v>6</v>
      </c>
      <c r="M4" s="3" t="s">
        <v>7</v>
      </c>
      <c r="O4" s="4"/>
      <c r="P4" s="5" t="s">
        <v>8</v>
      </c>
      <c r="Q4" s="5" t="s">
        <v>9</v>
      </c>
    </row>
    <row r="5">
      <c r="A5" s="6"/>
      <c r="B5" s="7" t="s">
        <v>10</v>
      </c>
      <c r="C5" s="7" t="s">
        <v>11</v>
      </c>
      <c r="D5" s="7" t="s">
        <v>12</v>
      </c>
      <c r="E5" s="6"/>
      <c r="F5" s="6"/>
      <c r="G5" s="7" t="s">
        <v>13</v>
      </c>
      <c r="H5" s="7" t="s">
        <v>14</v>
      </c>
      <c r="I5" s="7" t="s">
        <v>15</v>
      </c>
      <c r="J5" s="7" t="s">
        <v>16</v>
      </c>
      <c r="K5" s="8" t="s">
        <v>17</v>
      </c>
      <c r="L5" s="8" t="s">
        <v>18</v>
      </c>
      <c r="M5" s="7" t="s">
        <v>19</v>
      </c>
      <c r="N5" s="7" t="s">
        <v>20</v>
      </c>
      <c r="O5" s="6"/>
    </row>
    <row r="8">
      <c r="A8" s="9" t="s">
        <v>21</v>
      </c>
      <c r="B8" s="9" t="s">
        <v>22</v>
      </c>
      <c r="C8" s="9" t="s">
        <v>23</v>
      </c>
      <c r="D8" s="9" t="s">
        <v>24</v>
      </c>
      <c r="E8" s="9" t="s">
        <v>25</v>
      </c>
    </row>
    <row r="9">
      <c r="A9" s="9" t="s">
        <v>21</v>
      </c>
      <c r="C9" s="9" t="s">
        <v>26</v>
      </c>
      <c r="D9" s="9" t="s">
        <v>27</v>
      </c>
      <c r="E9" s="9" t="s">
        <v>28</v>
      </c>
    </row>
    <row r="10">
      <c r="A10" s="9" t="s">
        <v>21</v>
      </c>
      <c r="B10" s="9" t="s">
        <v>29</v>
      </c>
      <c r="C10" s="9" t="s">
        <v>29</v>
      </c>
      <c r="D10" s="9" t="s">
        <v>30</v>
      </c>
      <c r="E10" s="9" t="s">
        <v>28</v>
      </c>
    </row>
    <row r="11">
      <c r="A11" s="9" t="s">
        <v>21</v>
      </c>
      <c r="B11" s="9" t="s">
        <v>22</v>
      </c>
      <c r="C11" s="9" t="s">
        <v>29</v>
      </c>
      <c r="D11" s="9" t="s">
        <v>30</v>
      </c>
      <c r="E11" s="9" t="s">
        <v>31</v>
      </c>
    </row>
    <row r="12">
      <c r="A12" s="9" t="s">
        <v>21</v>
      </c>
      <c r="B12" s="9" t="s">
        <v>22</v>
      </c>
      <c r="C12" s="9" t="s">
        <v>32</v>
      </c>
      <c r="D12" s="9" t="s">
        <v>30</v>
      </c>
      <c r="E12" s="9" t="s">
        <v>31</v>
      </c>
    </row>
    <row r="13">
      <c r="A13" s="9" t="s">
        <v>21</v>
      </c>
      <c r="B13" s="9" t="s">
        <v>22</v>
      </c>
      <c r="C13" s="9" t="s">
        <v>33</v>
      </c>
      <c r="D13" s="9" t="s">
        <v>34</v>
      </c>
      <c r="E13" s="9" t="s">
        <v>35</v>
      </c>
    </row>
    <row r="15">
      <c r="A15" s="9" t="s">
        <v>36</v>
      </c>
      <c r="B15" s="9" t="s">
        <v>37</v>
      </c>
      <c r="C15" s="9" t="s">
        <v>38</v>
      </c>
      <c r="D15" s="9" t="s">
        <v>39</v>
      </c>
      <c r="E15" s="9" t="s">
        <v>35</v>
      </c>
    </row>
    <row r="16">
      <c r="A16" s="9" t="s">
        <v>36</v>
      </c>
      <c r="C16" s="9" t="s">
        <v>40</v>
      </c>
      <c r="D16" s="9" t="s">
        <v>34</v>
      </c>
      <c r="E16" s="9" t="s">
        <v>41</v>
      </c>
    </row>
    <row r="17">
      <c r="C17" s="9" t="s">
        <v>42</v>
      </c>
      <c r="D17" s="9" t="s">
        <v>34</v>
      </c>
      <c r="E17" s="9" t="s">
        <v>43</v>
      </c>
    </row>
    <row r="18">
      <c r="C18" s="9" t="s">
        <v>42</v>
      </c>
      <c r="D18" s="9" t="s">
        <v>34</v>
      </c>
      <c r="E18" s="9" t="s">
        <v>44</v>
      </c>
    </row>
  </sheetData>
  <mergeCells count="4">
    <mergeCell ref="A2:B2"/>
    <mergeCell ref="B4:D4"/>
    <mergeCell ref="G4:L4"/>
    <mergeCell ref="M4:N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2.88"/>
    <col customWidth="1" min="2" max="3" width="18.13"/>
    <col customWidth="1" min="4" max="5" width="38.13"/>
    <col customWidth="1" min="6" max="6" width="23.88"/>
    <col customWidth="1" min="7" max="7" width="22.88"/>
    <col customWidth="1" min="8" max="8" width="41.88"/>
    <col customWidth="1" min="9" max="9" width="29.5"/>
    <col customWidth="1" min="10" max="10" width="24.75"/>
    <col customWidth="1" min="11" max="11" width="33.38"/>
    <col customWidth="1" min="12" max="12" width="40.88"/>
    <col customWidth="1" min="13" max="13" width="8.63"/>
    <col customWidth="1" min="14" max="14" width="8.13"/>
  </cols>
  <sheetData>
    <row r="1" ht="15.0" customHeight="1">
      <c r="A1" s="1" t="s">
        <v>45</v>
      </c>
    </row>
    <row r="3">
      <c r="B3" s="10" t="s">
        <v>46</v>
      </c>
    </row>
    <row r="4">
      <c r="B4" s="10" t="s">
        <v>47</v>
      </c>
    </row>
    <row r="5">
      <c r="B5" s="10" t="s">
        <v>48</v>
      </c>
    </row>
    <row r="6" ht="15.0" customHeight="1">
      <c r="F6" s="11" t="s">
        <v>49</v>
      </c>
    </row>
    <row r="7">
      <c r="A7" s="12" t="s">
        <v>50</v>
      </c>
      <c r="B7" s="12" t="s">
        <v>51</v>
      </c>
      <c r="C7" s="12" t="s">
        <v>52</v>
      </c>
      <c r="D7" s="12" t="s">
        <v>53</v>
      </c>
      <c r="E7" s="12" t="s">
        <v>54</v>
      </c>
      <c r="F7" s="13" t="s">
        <v>55</v>
      </c>
      <c r="G7" s="13" t="s">
        <v>56</v>
      </c>
      <c r="H7" s="14" t="s">
        <v>57</v>
      </c>
      <c r="I7" s="14" t="s">
        <v>58</v>
      </c>
      <c r="J7" s="14" t="s">
        <v>59</v>
      </c>
      <c r="K7" s="14" t="s">
        <v>60</v>
      </c>
      <c r="L7" s="14" t="s">
        <v>61</v>
      </c>
    </row>
    <row r="8" ht="54.0" customHeight="1">
      <c r="D8" s="15" t="s">
        <v>62</v>
      </c>
      <c r="E8" s="15" t="s">
        <v>63</v>
      </c>
      <c r="F8" s="16" t="s">
        <v>64</v>
      </c>
      <c r="G8" s="17" t="s">
        <v>65</v>
      </c>
      <c r="H8" s="18" t="s">
        <v>66</v>
      </c>
      <c r="I8" s="18" t="s">
        <v>67</v>
      </c>
      <c r="J8" s="18" t="s">
        <v>68</v>
      </c>
      <c r="K8" s="18" t="s">
        <v>69</v>
      </c>
      <c r="L8" s="18" t="s">
        <v>70</v>
      </c>
    </row>
    <row r="9">
      <c r="G9" s="7" t="s">
        <v>65</v>
      </c>
    </row>
    <row r="10" ht="33.0" customHeight="1">
      <c r="A10" s="19" t="s">
        <v>71</v>
      </c>
      <c r="B10" s="19" t="s">
        <v>72</v>
      </c>
      <c r="C10" s="19" t="s">
        <v>73</v>
      </c>
      <c r="D10" s="19" t="s">
        <v>74</v>
      </c>
      <c r="E10" s="19" t="s">
        <v>75</v>
      </c>
      <c r="G10" s="19">
        <v>18.0</v>
      </c>
      <c r="I10" s="19" t="s">
        <v>76</v>
      </c>
      <c r="J10" s="20"/>
    </row>
    <row r="11" ht="33.0" customHeight="1">
      <c r="A11" s="19" t="s">
        <v>77</v>
      </c>
      <c r="B11" s="19" t="s">
        <v>78</v>
      </c>
      <c r="C11" s="19" t="s">
        <v>79</v>
      </c>
      <c r="D11" s="19" t="s">
        <v>80</v>
      </c>
      <c r="E11" s="19" t="s">
        <v>81</v>
      </c>
      <c r="G11" s="19">
        <v>80.0</v>
      </c>
      <c r="H11" s="19" t="s">
        <v>82</v>
      </c>
      <c r="I11" s="19" t="s">
        <v>83</v>
      </c>
      <c r="J11" s="20"/>
      <c r="K11" s="19" t="s">
        <v>84</v>
      </c>
      <c r="L11" s="19" t="s">
        <v>85</v>
      </c>
    </row>
    <row r="12">
      <c r="A12" s="19" t="s">
        <v>86</v>
      </c>
      <c r="B12" s="19" t="s">
        <v>87</v>
      </c>
      <c r="D12" s="19" t="s">
        <v>88</v>
      </c>
      <c r="J12" s="20"/>
    </row>
    <row r="13" ht="21.75" customHeight="1">
      <c r="A13" s="19" t="s">
        <v>89</v>
      </c>
      <c r="B13" s="19" t="s">
        <v>90</v>
      </c>
      <c r="D13" s="19" t="s">
        <v>91</v>
      </c>
      <c r="J13" s="20"/>
    </row>
    <row r="14" ht="33.0" customHeight="1">
      <c r="A14" s="19" t="s">
        <v>92</v>
      </c>
      <c r="B14" s="19" t="s">
        <v>93</v>
      </c>
      <c r="C14" s="19" t="s">
        <v>94</v>
      </c>
      <c r="D14" s="19" t="s">
        <v>95</v>
      </c>
      <c r="E14" s="19" t="s">
        <v>96</v>
      </c>
      <c r="H14" s="19" t="s">
        <v>97</v>
      </c>
      <c r="I14" s="19" t="s">
        <v>98</v>
      </c>
      <c r="J14" s="20"/>
    </row>
    <row r="15" ht="45.0" customHeight="1">
      <c r="A15" s="19" t="s">
        <v>92</v>
      </c>
      <c r="B15" s="19" t="s">
        <v>93</v>
      </c>
      <c r="C15" s="19" t="s">
        <v>99</v>
      </c>
      <c r="D15" s="19" t="s">
        <v>100</v>
      </c>
      <c r="H15" s="19" t="s">
        <v>101</v>
      </c>
      <c r="I15" s="19" t="s">
        <v>102</v>
      </c>
      <c r="J15" s="20"/>
    </row>
    <row r="16" ht="33.0" customHeight="1">
      <c r="A16" s="19" t="s">
        <v>103</v>
      </c>
      <c r="B16" s="19" t="s">
        <v>104</v>
      </c>
      <c r="C16" s="19" t="s">
        <v>105</v>
      </c>
      <c r="D16" s="19" t="s">
        <v>106</v>
      </c>
      <c r="E16" s="19" t="s">
        <v>107</v>
      </c>
      <c r="F16" s="19">
        <v>7.0</v>
      </c>
      <c r="G16" s="19">
        <v>7.0</v>
      </c>
      <c r="J16" s="20"/>
      <c r="K16" s="19" t="s">
        <v>108</v>
      </c>
      <c r="L16" s="19" t="s">
        <v>109</v>
      </c>
    </row>
    <row r="17" ht="21.75" customHeight="1">
      <c r="A17" s="19" t="s">
        <v>110</v>
      </c>
      <c r="B17" s="19" t="s">
        <v>104</v>
      </c>
      <c r="D17" s="19" t="s">
        <v>111</v>
      </c>
      <c r="J17" s="20"/>
    </row>
    <row r="18" ht="66.75" customHeight="1">
      <c r="A18" s="19" t="s">
        <v>112</v>
      </c>
      <c r="B18" s="19" t="s">
        <v>104</v>
      </c>
      <c r="C18" s="19" t="s">
        <v>113</v>
      </c>
      <c r="D18" s="19" t="s">
        <v>114</v>
      </c>
    </row>
    <row r="19" ht="21.75" customHeight="1">
      <c r="A19" s="19" t="s">
        <v>112</v>
      </c>
      <c r="B19" s="19" t="s">
        <v>104</v>
      </c>
      <c r="C19" s="19" t="s">
        <v>115</v>
      </c>
      <c r="D19" s="19" t="s">
        <v>116</v>
      </c>
    </row>
    <row r="20" ht="15.0" customHeight="1">
      <c r="A20" s="19" t="s">
        <v>112</v>
      </c>
      <c r="B20" s="19" t="s">
        <v>104</v>
      </c>
      <c r="C20" s="19" t="s">
        <v>117</v>
      </c>
      <c r="D20" s="21" t="s">
        <v>118</v>
      </c>
      <c r="E20" s="22"/>
    </row>
    <row r="21" ht="33.0" customHeight="1">
      <c r="A21" s="19" t="s">
        <v>112</v>
      </c>
      <c r="B21" s="19" t="s">
        <v>104</v>
      </c>
      <c r="C21" s="19" t="s">
        <v>119</v>
      </c>
      <c r="D21" s="19" t="s">
        <v>120</v>
      </c>
    </row>
    <row r="22">
      <c r="A22" s="19" t="s">
        <v>121</v>
      </c>
      <c r="B22" s="19" t="s">
        <v>122</v>
      </c>
      <c r="C22" s="19" t="s">
        <v>123</v>
      </c>
    </row>
    <row r="23">
      <c r="A23" s="19" t="s">
        <v>124</v>
      </c>
      <c r="B23" s="19" t="s">
        <v>122</v>
      </c>
      <c r="C23" s="19" t="s">
        <v>125</v>
      </c>
      <c r="D23" s="19" t="s">
        <v>126</v>
      </c>
      <c r="E23" s="19" t="s">
        <v>127</v>
      </c>
      <c r="F23" s="19">
        <v>10.0</v>
      </c>
      <c r="G23" s="19">
        <v>10.0</v>
      </c>
    </row>
    <row r="24" ht="21.75" customHeight="1">
      <c r="A24" s="19" t="s">
        <v>124</v>
      </c>
      <c r="B24" s="19" t="s">
        <v>122</v>
      </c>
      <c r="C24" s="19" t="s">
        <v>128</v>
      </c>
      <c r="D24" s="19" t="s">
        <v>129</v>
      </c>
      <c r="E24" s="19" t="s">
        <v>127</v>
      </c>
      <c r="F24" s="19">
        <v>60.0</v>
      </c>
      <c r="G24" s="19">
        <v>15.0</v>
      </c>
      <c r="H24" s="19" t="s">
        <v>130</v>
      </c>
      <c r="I24" s="19" t="s">
        <v>131</v>
      </c>
      <c r="J24" s="19" t="s">
        <v>132</v>
      </c>
      <c r="K24" s="19" t="s">
        <v>133</v>
      </c>
      <c r="L24" s="19" t="s">
        <v>134</v>
      </c>
    </row>
    <row r="25">
      <c r="A25" s="19" t="s">
        <v>135</v>
      </c>
      <c r="B25" s="19" t="s">
        <v>122</v>
      </c>
      <c r="C25" s="19" t="s">
        <v>136</v>
      </c>
      <c r="D25" s="19" t="s">
        <v>137</v>
      </c>
      <c r="E25" s="19" t="s">
        <v>138</v>
      </c>
      <c r="F25" s="19">
        <v>10.0</v>
      </c>
      <c r="G25" s="19">
        <v>2.0</v>
      </c>
      <c r="H25" s="19" t="s">
        <v>139</v>
      </c>
      <c r="I25" s="19" t="s">
        <v>140</v>
      </c>
    </row>
    <row r="26" ht="21.75" customHeight="1">
      <c r="A26" s="19" t="s">
        <v>135</v>
      </c>
      <c r="B26" s="19" t="s">
        <v>122</v>
      </c>
      <c r="C26" s="19" t="s">
        <v>141</v>
      </c>
      <c r="D26" s="19" t="s">
        <v>142</v>
      </c>
      <c r="E26" s="19" t="s">
        <v>143</v>
      </c>
      <c r="F26" s="19">
        <v>15.0</v>
      </c>
      <c r="G26" s="19">
        <v>5.0</v>
      </c>
      <c r="H26" s="19" t="s">
        <v>139</v>
      </c>
      <c r="I26" s="19" t="s">
        <v>144</v>
      </c>
    </row>
    <row r="27" ht="21.75" customHeight="1">
      <c r="A27" s="19" t="s">
        <v>145</v>
      </c>
      <c r="B27" s="19" t="s">
        <v>122</v>
      </c>
      <c r="D27" s="19" t="s">
        <v>146</v>
      </c>
      <c r="F27" s="19" t="s">
        <v>147</v>
      </c>
      <c r="G27" s="19">
        <v>40.0</v>
      </c>
      <c r="H27" s="19" t="s">
        <v>148</v>
      </c>
      <c r="I27" s="19" t="s">
        <v>149</v>
      </c>
    </row>
    <row r="28" ht="21.75" customHeight="1">
      <c r="A28" s="19" t="s">
        <v>150</v>
      </c>
      <c r="B28" s="19" t="s">
        <v>122</v>
      </c>
      <c r="C28" s="19" t="s">
        <v>151</v>
      </c>
      <c r="E28" s="19" t="s">
        <v>152</v>
      </c>
      <c r="F28" s="19">
        <v>10.0</v>
      </c>
      <c r="G28" s="19">
        <v>10.0</v>
      </c>
      <c r="H28" s="19" t="s">
        <v>153</v>
      </c>
      <c r="I28" s="19" t="s">
        <v>154</v>
      </c>
    </row>
    <row r="29" ht="33.0" customHeight="1">
      <c r="A29" s="19" t="s">
        <v>155</v>
      </c>
      <c r="B29" s="19" t="s">
        <v>122</v>
      </c>
      <c r="D29" s="19" t="s">
        <v>156</v>
      </c>
      <c r="H29" s="19" t="s">
        <v>157</v>
      </c>
      <c r="I29" s="19" t="s">
        <v>158</v>
      </c>
      <c r="J29" s="19" t="s">
        <v>159</v>
      </c>
    </row>
    <row r="30" ht="21.75" customHeight="1">
      <c r="A30" s="19" t="s">
        <v>155</v>
      </c>
      <c r="B30" s="19" t="s">
        <v>122</v>
      </c>
      <c r="D30" s="19" t="s">
        <v>160</v>
      </c>
      <c r="E30" s="19" t="s">
        <v>161</v>
      </c>
      <c r="H30" s="19" t="s">
        <v>162</v>
      </c>
      <c r="I30" s="19" t="s">
        <v>163</v>
      </c>
      <c r="J30" s="19" t="s">
        <v>164</v>
      </c>
      <c r="K30" s="19" t="s">
        <v>165</v>
      </c>
      <c r="L30" s="19" t="s">
        <v>166</v>
      </c>
    </row>
    <row r="31" ht="33.0" customHeight="1">
      <c r="A31" s="19" t="s">
        <v>92</v>
      </c>
      <c r="B31" s="19" t="s">
        <v>122</v>
      </c>
      <c r="C31" s="19" t="s">
        <v>151</v>
      </c>
      <c r="D31" s="19" t="s">
        <v>167</v>
      </c>
      <c r="E31" s="19" t="s">
        <v>168</v>
      </c>
      <c r="G31" s="19">
        <v>20.0</v>
      </c>
      <c r="H31" s="19" t="s">
        <v>169</v>
      </c>
      <c r="I31" s="19" t="s">
        <v>170</v>
      </c>
    </row>
    <row r="32" ht="33.0" customHeight="1">
      <c r="A32" s="19" t="s">
        <v>92</v>
      </c>
      <c r="B32" s="19" t="s">
        <v>122</v>
      </c>
      <c r="C32" s="19" t="s">
        <v>151</v>
      </c>
      <c r="D32" s="19" t="s">
        <v>171</v>
      </c>
      <c r="E32" s="19" t="s">
        <v>172</v>
      </c>
      <c r="G32" s="19">
        <v>20.0</v>
      </c>
      <c r="H32" s="19" t="s">
        <v>169</v>
      </c>
      <c r="I32" s="19" t="s">
        <v>170</v>
      </c>
    </row>
    <row r="33" ht="33.0" customHeight="1">
      <c r="A33" s="19" t="s">
        <v>92</v>
      </c>
      <c r="B33" s="19" t="s">
        <v>122</v>
      </c>
      <c r="C33" s="19" t="s">
        <v>151</v>
      </c>
      <c r="D33" s="19" t="s">
        <v>173</v>
      </c>
      <c r="E33" s="19" t="s">
        <v>172</v>
      </c>
      <c r="G33" s="19">
        <v>20.0</v>
      </c>
      <c r="H33" s="19" t="s">
        <v>169</v>
      </c>
      <c r="I33" s="19" t="s">
        <v>170</v>
      </c>
    </row>
    <row r="34" ht="33.0" customHeight="1">
      <c r="A34" s="19" t="s">
        <v>92</v>
      </c>
      <c r="B34" s="19" t="s">
        <v>122</v>
      </c>
      <c r="C34" s="19" t="s">
        <v>151</v>
      </c>
      <c r="D34" s="19" t="s">
        <v>174</v>
      </c>
      <c r="E34" s="19" t="s">
        <v>175</v>
      </c>
      <c r="G34" s="19">
        <v>50.0</v>
      </c>
      <c r="H34" s="19" t="s">
        <v>169</v>
      </c>
      <c r="I34" s="19" t="s">
        <v>176</v>
      </c>
    </row>
    <row r="35" ht="21.75" customHeight="1">
      <c r="A35" s="19" t="s">
        <v>177</v>
      </c>
      <c r="B35" s="19" t="s">
        <v>122</v>
      </c>
      <c r="C35" s="19" t="s">
        <v>178</v>
      </c>
      <c r="E35" s="19" t="s">
        <v>179</v>
      </c>
      <c r="H35" s="19" t="s">
        <v>180</v>
      </c>
      <c r="I35" s="19" t="s">
        <v>181</v>
      </c>
      <c r="J35" s="19" t="s">
        <v>182</v>
      </c>
      <c r="K35" s="19" t="s">
        <v>183</v>
      </c>
      <c r="L35" s="19" t="s">
        <v>184</v>
      </c>
    </row>
    <row r="36" ht="21.75" customHeight="1">
      <c r="A36" s="19" t="s">
        <v>177</v>
      </c>
      <c r="B36" s="19" t="s">
        <v>122</v>
      </c>
      <c r="C36" s="19" t="s">
        <v>185</v>
      </c>
      <c r="D36" s="19" t="s">
        <v>186</v>
      </c>
      <c r="G36" s="19">
        <v>20.0</v>
      </c>
      <c r="H36" s="19" t="s">
        <v>187</v>
      </c>
      <c r="I36" s="19" t="s">
        <v>188</v>
      </c>
      <c r="J36" s="19" t="s">
        <v>189</v>
      </c>
      <c r="K36" s="19" t="s">
        <v>183</v>
      </c>
      <c r="L36" s="19" t="s">
        <v>184</v>
      </c>
    </row>
    <row r="37" ht="33.0" customHeight="1">
      <c r="A37" s="19" t="s">
        <v>190</v>
      </c>
      <c r="B37" s="19" t="s">
        <v>122</v>
      </c>
      <c r="C37" s="19" t="s">
        <v>191</v>
      </c>
      <c r="D37" s="19" t="s">
        <v>192</v>
      </c>
      <c r="F37" s="19">
        <v>50.0</v>
      </c>
      <c r="G37" s="19">
        <v>30.0</v>
      </c>
      <c r="H37" s="19" t="s">
        <v>193</v>
      </c>
      <c r="I37" s="19" t="s">
        <v>194</v>
      </c>
      <c r="J37" s="19" t="s">
        <v>195</v>
      </c>
      <c r="K37" s="19" t="s">
        <v>196</v>
      </c>
      <c r="L37" s="19" t="s">
        <v>197</v>
      </c>
    </row>
    <row r="38" ht="21.75" customHeight="1">
      <c r="A38" s="19" t="s">
        <v>190</v>
      </c>
      <c r="B38" s="19" t="s">
        <v>122</v>
      </c>
      <c r="C38" s="19" t="s">
        <v>198</v>
      </c>
      <c r="D38" s="19" t="s">
        <v>199</v>
      </c>
      <c r="E38" s="19" t="s">
        <v>200</v>
      </c>
      <c r="F38" s="19">
        <v>30.0</v>
      </c>
      <c r="G38" s="19">
        <v>24.0</v>
      </c>
    </row>
    <row r="39">
      <c r="A39" s="19" t="s">
        <v>155</v>
      </c>
      <c r="B39" s="19" t="s">
        <v>201</v>
      </c>
      <c r="C39" s="19" t="s">
        <v>202</v>
      </c>
      <c r="E39" s="19" t="s">
        <v>203</v>
      </c>
      <c r="H39" s="19" t="s">
        <v>204</v>
      </c>
      <c r="I39" s="19" t="s">
        <v>205</v>
      </c>
      <c r="K39" s="19" t="s">
        <v>206</v>
      </c>
      <c r="L39" s="19" t="s">
        <v>207</v>
      </c>
    </row>
    <row r="40" ht="33.0" customHeight="1">
      <c r="A40" s="19" t="s">
        <v>155</v>
      </c>
      <c r="B40" s="19" t="s">
        <v>208</v>
      </c>
      <c r="D40" s="19" t="s">
        <v>209</v>
      </c>
      <c r="E40" s="20"/>
      <c r="G40" s="20"/>
      <c r="H40" s="19" t="s">
        <v>157</v>
      </c>
      <c r="I40" s="19" t="s">
        <v>210</v>
      </c>
      <c r="J40" s="19" t="s">
        <v>211</v>
      </c>
      <c r="K40" s="20"/>
      <c r="L40" s="20"/>
      <c r="M40" s="20"/>
    </row>
    <row r="41" ht="21.75" customHeight="1">
      <c r="A41" s="19" t="s">
        <v>212</v>
      </c>
      <c r="B41" s="19" t="s">
        <v>213</v>
      </c>
      <c r="C41" s="19" t="s">
        <v>214</v>
      </c>
      <c r="H41" s="19" t="s">
        <v>215</v>
      </c>
      <c r="I41" s="19" t="s">
        <v>216</v>
      </c>
      <c r="J41" s="19" t="s">
        <v>217</v>
      </c>
      <c r="K41" s="19" t="s">
        <v>218</v>
      </c>
      <c r="L41" s="19" t="s">
        <v>219</v>
      </c>
    </row>
    <row r="42" ht="33.0" customHeight="1">
      <c r="A42" s="19" t="s">
        <v>212</v>
      </c>
      <c r="B42" s="19" t="s">
        <v>213</v>
      </c>
      <c r="C42" s="19" t="s">
        <v>220</v>
      </c>
      <c r="E42" s="19" t="s">
        <v>221</v>
      </c>
      <c r="H42" s="19" t="s">
        <v>222</v>
      </c>
      <c r="I42" s="19" t="s">
        <v>223</v>
      </c>
      <c r="J42" s="19" t="s">
        <v>224</v>
      </c>
      <c r="K42" s="19" t="s">
        <v>225</v>
      </c>
      <c r="L42" s="19" t="s">
        <v>226</v>
      </c>
    </row>
    <row r="43">
      <c r="A43" s="19" t="s">
        <v>212</v>
      </c>
      <c r="B43" s="19" t="s">
        <v>213</v>
      </c>
      <c r="C43" s="19" t="s">
        <v>227</v>
      </c>
      <c r="E43" s="19" t="s">
        <v>228</v>
      </c>
      <c r="H43" s="19" t="s">
        <v>229</v>
      </c>
    </row>
    <row r="44">
      <c r="A44" s="19" t="s">
        <v>230</v>
      </c>
      <c r="B44" s="19" t="s">
        <v>231</v>
      </c>
      <c r="C44" s="19" t="s">
        <v>232</v>
      </c>
      <c r="G44" s="8">
        <v>24.0</v>
      </c>
    </row>
    <row r="45">
      <c r="A45" s="19" t="s">
        <v>121</v>
      </c>
      <c r="B45" s="19" t="s">
        <v>231</v>
      </c>
      <c r="C45" s="19" t="s">
        <v>233</v>
      </c>
      <c r="D45" s="19" t="s">
        <v>234</v>
      </c>
      <c r="F45" s="20"/>
      <c r="G45" s="19">
        <v>13.0</v>
      </c>
      <c r="H45" s="19" t="s">
        <v>235</v>
      </c>
    </row>
    <row r="46" ht="55.5" customHeight="1">
      <c r="A46" s="19" t="s">
        <v>121</v>
      </c>
      <c r="B46" s="19" t="s">
        <v>231</v>
      </c>
      <c r="C46" s="19" t="s">
        <v>233</v>
      </c>
      <c r="D46" s="19" t="s">
        <v>236</v>
      </c>
      <c r="E46" s="19" t="s">
        <v>237</v>
      </c>
      <c r="H46" s="20"/>
    </row>
    <row r="47">
      <c r="A47" s="19" t="s">
        <v>238</v>
      </c>
      <c r="B47" s="20"/>
      <c r="C47" s="19">
        <v>14.0</v>
      </c>
      <c r="D47" s="19" t="s">
        <v>239</v>
      </c>
      <c r="E47" s="20"/>
      <c r="K47" s="20"/>
      <c r="L47" s="20"/>
    </row>
    <row r="48" ht="45.0" customHeight="1">
      <c r="A48" s="23" t="s">
        <v>150</v>
      </c>
      <c r="B48" s="24" t="s">
        <v>231</v>
      </c>
      <c r="C48" s="19" t="s">
        <v>233</v>
      </c>
      <c r="D48" s="20"/>
      <c r="E48" s="25"/>
      <c r="F48" s="8">
        <v>120.0</v>
      </c>
      <c r="G48" s="8">
        <v>84.0</v>
      </c>
      <c r="H48" s="20"/>
      <c r="I48" s="20"/>
      <c r="J48" s="26"/>
      <c r="K48" s="19" t="s">
        <v>240</v>
      </c>
      <c r="L48" s="19" t="s">
        <v>241</v>
      </c>
    </row>
    <row r="49" ht="45.0" customHeight="1">
      <c r="A49" s="23" t="s">
        <v>92</v>
      </c>
      <c r="B49" s="24" t="s">
        <v>231</v>
      </c>
      <c r="C49" s="19" t="s">
        <v>233</v>
      </c>
      <c r="D49" s="19" t="s">
        <v>242</v>
      </c>
      <c r="E49" s="23" t="s">
        <v>243</v>
      </c>
      <c r="F49" s="8">
        <v>100.0</v>
      </c>
      <c r="G49" s="8">
        <v>15.0</v>
      </c>
      <c r="H49" s="19" t="s">
        <v>244</v>
      </c>
      <c r="I49" s="19" t="s">
        <v>245</v>
      </c>
      <c r="J49" s="23" t="s">
        <v>246</v>
      </c>
      <c r="K49" s="19" t="s">
        <v>247</v>
      </c>
      <c r="L49" s="19" t="s">
        <v>248</v>
      </c>
    </row>
    <row r="50" ht="45.0" customHeight="1">
      <c r="A50" s="23" t="s">
        <v>92</v>
      </c>
      <c r="B50" s="24" t="s">
        <v>231</v>
      </c>
      <c r="C50" s="19" t="s">
        <v>233</v>
      </c>
      <c r="D50" s="19" t="s">
        <v>242</v>
      </c>
      <c r="E50" s="23" t="s">
        <v>249</v>
      </c>
      <c r="F50" s="8">
        <v>100.0</v>
      </c>
      <c r="G50" s="8">
        <v>15.0</v>
      </c>
      <c r="H50" s="19" t="s">
        <v>244</v>
      </c>
      <c r="I50" s="19" t="s">
        <v>245</v>
      </c>
      <c r="J50" s="23" t="s">
        <v>246</v>
      </c>
      <c r="K50" s="19" t="s">
        <v>247</v>
      </c>
      <c r="L50" s="19" t="s">
        <v>248</v>
      </c>
    </row>
    <row r="51" ht="45.0" customHeight="1">
      <c r="A51" s="23" t="s">
        <v>92</v>
      </c>
      <c r="B51" s="24" t="s">
        <v>231</v>
      </c>
      <c r="C51" s="19" t="s">
        <v>233</v>
      </c>
      <c r="D51" s="19" t="s">
        <v>242</v>
      </c>
      <c r="E51" s="23" t="s">
        <v>250</v>
      </c>
      <c r="F51" s="19">
        <v>35.0</v>
      </c>
      <c r="G51" s="19">
        <v>15.0</v>
      </c>
      <c r="H51" s="19" t="s">
        <v>244</v>
      </c>
      <c r="I51" s="19" t="s">
        <v>245</v>
      </c>
      <c r="J51" s="23" t="s">
        <v>246</v>
      </c>
      <c r="K51" s="19" t="s">
        <v>247</v>
      </c>
      <c r="L51" s="19" t="s">
        <v>248</v>
      </c>
    </row>
    <row r="52" ht="45.0" customHeight="1">
      <c r="A52" s="23" t="s">
        <v>92</v>
      </c>
      <c r="B52" s="24" t="s">
        <v>231</v>
      </c>
      <c r="C52" s="19" t="s">
        <v>233</v>
      </c>
      <c r="D52" s="19" t="s">
        <v>251</v>
      </c>
      <c r="E52" s="23" t="s">
        <v>252</v>
      </c>
      <c r="F52" s="8">
        <v>50.0</v>
      </c>
      <c r="G52" s="8">
        <v>14.0</v>
      </c>
      <c r="H52" s="19" t="s">
        <v>244</v>
      </c>
      <c r="I52" s="19" t="s">
        <v>245</v>
      </c>
      <c r="J52" s="23" t="s">
        <v>246</v>
      </c>
      <c r="K52" s="19" t="s">
        <v>247</v>
      </c>
      <c r="L52" s="19" t="s">
        <v>248</v>
      </c>
    </row>
    <row r="53" ht="45.0" customHeight="1">
      <c r="A53" s="23" t="s">
        <v>92</v>
      </c>
      <c r="B53" s="24" t="s">
        <v>231</v>
      </c>
      <c r="C53" s="19" t="s">
        <v>233</v>
      </c>
      <c r="D53" s="19" t="s">
        <v>253</v>
      </c>
      <c r="E53" s="23" t="s">
        <v>254</v>
      </c>
      <c r="F53" s="8">
        <v>50.0</v>
      </c>
      <c r="G53" s="8">
        <v>14.0</v>
      </c>
      <c r="H53" s="19" t="s">
        <v>244</v>
      </c>
      <c r="I53" s="19" t="s">
        <v>255</v>
      </c>
      <c r="J53" s="23" t="s">
        <v>246</v>
      </c>
      <c r="K53" s="19" t="s">
        <v>247</v>
      </c>
      <c r="L53" s="19" t="s">
        <v>248</v>
      </c>
    </row>
    <row r="54" ht="45.0" customHeight="1">
      <c r="A54" s="23" t="s">
        <v>92</v>
      </c>
      <c r="B54" s="24" t="s">
        <v>231</v>
      </c>
      <c r="C54" s="19" t="s">
        <v>233</v>
      </c>
      <c r="D54" s="19" t="s">
        <v>256</v>
      </c>
      <c r="E54" s="23" t="s">
        <v>257</v>
      </c>
      <c r="F54" s="8">
        <v>50.0</v>
      </c>
      <c r="G54" s="8">
        <v>14.0</v>
      </c>
      <c r="H54" s="19" t="s">
        <v>258</v>
      </c>
      <c r="I54" s="19" t="s">
        <v>259</v>
      </c>
      <c r="J54" s="26"/>
      <c r="K54" s="19" t="s">
        <v>260</v>
      </c>
      <c r="L54" s="19" t="s">
        <v>261</v>
      </c>
    </row>
    <row r="55" ht="33.0" customHeight="1">
      <c r="A55" s="23" t="s">
        <v>92</v>
      </c>
      <c r="B55" s="24" t="s">
        <v>231</v>
      </c>
      <c r="C55" s="19" t="s">
        <v>233</v>
      </c>
      <c r="D55" s="19" t="s">
        <v>262</v>
      </c>
      <c r="E55" s="26"/>
      <c r="G55" s="8">
        <v>12.0</v>
      </c>
      <c r="H55" s="20"/>
      <c r="I55" s="20"/>
      <c r="J55" s="26"/>
      <c r="K55" s="20"/>
      <c r="L55" s="20"/>
    </row>
    <row r="56" ht="21.75" customHeight="1">
      <c r="A56" s="19" t="s">
        <v>92</v>
      </c>
      <c r="B56" s="19" t="s">
        <v>263</v>
      </c>
      <c r="C56" s="19" t="s">
        <v>264</v>
      </c>
      <c r="D56" s="19" t="s">
        <v>265</v>
      </c>
      <c r="E56" s="19" t="s">
        <v>266</v>
      </c>
    </row>
    <row r="57" ht="21.75" customHeight="1">
      <c r="A57" s="19" t="s">
        <v>92</v>
      </c>
      <c r="B57" s="19" t="s">
        <v>263</v>
      </c>
      <c r="C57" s="19" t="s">
        <v>145</v>
      </c>
      <c r="D57" s="19" t="s">
        <v>267</v>
      </c>
      <c r="E57" s="19" t="s">
        <v>268</v>
      </c>
      <c r="H57" s="19" t="s">
        <v>269</v>
      </c>
    </row>
    <row r="58" ht="21.75" customHeight="1">
      <c r="A58" s="19" t="s">
        <v>92</v>
      </c>
      <c r="B58" s="19" t="s">
        <v>263</v>
      </c>
      <c r="C58" s="19" t="s">
        <v>145</v>
      </c>
      <c r="D58" s="19" t="s">
        <v>270</v>
      </c>
      <c r="E58" s="19" t="s">
        <v>268</v>
      </c>
      <c r="H58" s="19" t="s">
        <v>271</v>
      </c>
    </row>
    <row r="59" ht="21.75" customHeight="1">
      <c r="A59" s="19" t="s">
        <v>92</v>
      </c>
      <c r="B59" s="19" t="s">
        <v>263</v>
      </c>
      <c r="C59" s="19" t="s">
        <v>145</v>
      </c>
      <c r="D59" s="19" t="s">
        <v>272</v>
      </c>
      <c r="E59" s="19" t="s">
        <v>273</v>
      </c>
      <c r="H59" s="19" t="s">
        <v>274</v>
      </c>
    </row>
    <row r="60">
      <c r="A60" s="19" t="s">
        <v>92</v>
      </c>
      <c r="B60" s="19" t="s">
        <v>263</v>
      </c>
      <c r="C60" s="19" t="s">
        <v>275</v>
      </c>
    </row>
    <row r="61">
      <c r="A61" s="19" t="s">
        <v>92</v>
      </c>
      <c r="B61" s="19" t="s">
        <v>263</v>
      </c>
      <c r="C61" s="19" t="s">
        <v>276</v>
      </c>
    </row>
    <row r="62" ht="21.75" customHeight="1">
      <c r="A62" s="19" t="s">
        <v>92</v>
      </c>
      <c r="B62" s="19" t="s">
        <v>263</v>
      </c>
      <c r="C62" s="19" t="s">
        <v>277</v>
      </c>
      <c r="D62" s="19" t="s">
        <v>278</v>
      </c>
    </row>
    <row r="63" ht="33.0" customHeight="1">
      <c r="A63" s="19" t="s">
        <v>279</v>
      </c>
      <c r="B63" s="19" t="s">
        <v>280</v>
      </c>
    </row>
    <row r="64" ht="45.0" customHeight="1">
      <c r="A64" s="19" t="s">
        <v>92</v>
      </c>
      <c r="B64" s="19" t="s">
        <v>281</v>
      </c>
      <c r="C64" s="19" t="s">
        <v>282</v>
      </c>
      <c r="D64" s="27" t="s">
        <v>283</v>
      </c>
      <c r="E64" s="27" t="s">
        <v>284</v>
      </c>
      <c r="F64" s="28"/>
      <c r="G64" s="28"/>
      <c r="H64" s="19" t="s">
        <v>285</v>
      </c>
      <c r="I64" s="19" t="s">
        <v>286</v>
      </c>
      <c r="J64" s="19" t="s">
        <v>287</v>
      </c>
      <c r="K64" s="19" t="s">
        <v>288</v>
      </c>
      <c r="L64" s="19" t="s">
        <v>289</v>
      </c>
    </row>
    <row r="65" ht="33.0" customHeight="1">
      <c r="A65" s="19" t="s">
        <v>92</v>
      </c>
      <c r="B65" s="19" t="s">
        <v>281</v>
      </c>
      <c r="C65" s="19" t="s">
        <v>282</v>
      </c>
      <c r="D65" s="27" t="s">
        <v>290</v>
      </c>
      <c r="E65" s="27" t="s">
        <v>291</v>
      </c>
      <c r="G65" s="27">
        <v>24.0</v>
      </c>
      <c r="H65" s="19" t="s">
        <v>292</v>
      </c>
      <c r="I65" s="19" t="s">
        <v>286</v>
      </c>
      <c r="J65" s="19" t="s">
        <v>293</v>
      </c>
      <c r="K65" s="19" t="s">
        <v>294</v>
      </c>
      <c r="L65" s="19" t="s">
        <v>295</v>
      </c>
    </row>
    <row r="66">
      <c r="A66" s="19" t="s">
        <v>92</v>
      </c>
      <c r="B66" s="19" t="s">
        <v>281</v>
      </c>
      <c r="C66" s="19" t="s">
        <v>282</v>
      </c>
      <c r="D66" s="27" t="s">
        <v>296</v>
      </c>
      <c r="E66" s="27" t="s">
        <v>297</v>
      </c>
      <c r="G66" s="27">
        <v>1.0</v>
      </c>
      <c r="H66" s="19" t="s">
        <v>298</v>
      </c>
    </row>
    <row r="67">
      <c r="A67" s="19" t="s">
        <v>92</v>
      </c>
      <c r="B67" s="19" t="s">
        <v>281</v>
      </c>
      <c r="C67" s="19" t="s">
        <v>282</v>
      </c>
      <c r="D67" s="27" t="s">
        <v>299</v>
      </c>
      <c r="E67" s="27" t="s">
        <v>297</v>
      </c>
      <c r="G67" s="27">
        <v>1.0</v>
      </c>
      <c r="H67" s="19" t="s">
        <v>298</v>
      </c>
    </row>
    <row r="68" ht="21.75" customHeight="1">
      <c r="A68" s="19" t="s">
        <v>92</v>
      </c>
      <c r="B68" s="19" t="s">
        <v>281</v>
      </c>
      <c r="C68" s="19" t="s">
        <v>282</v>
      </c>
      <c r="D68" s="27" t="s">
        <v>300</v>
      </c>
      <c r="E68" s="27" t="s">
        <v>301</v>
      </c>
      <c r="G68" s="27">
        <v>72.0</v>
      </c>
      <c r="H68" s="19" t="s">
        <v>302</v>
      </c>
      <c r="I68" s="19" t="s">
        <v>303</v>
      </c>
      <c r="J68" s="19" t="s">
        <v>304</v>
      </c>
      <c r="K68" s="19" t="s">
        <v>305</v>
      </c>
      <c r="L68" s="19" t="s">
        <v>306</v>
      </c>
    </row>
    <row r="69" ht="33.0" customHeight="1">
      <c r="A69" s="19" t="s">
        <v>92</v>
      </c>
      <c r="B69" s="19" t="s">
        <v>281</v>
      </c>
      <c r="C69" s="19" t="s">
        <v>282</v>
      </c>
      <c r="D69" s="27" t="s">
        <v>307</v>
      </c>
      <c r="E69" s="27" t="s">
        <v>308</v>
      </c>
      <c r="G69" s="27">
        <v>48.0</v>
      </c>
      <c r="H69" s="19" t="s">
        <v>309</v>
      </c>
      <c r="I69" s="19" t="s">
        <v>286</v>
      </c>
      <c r="J69" s="19" t="s">
        <v>310</v>
      </c>
      <c r="K69" s="19" t="s">
        <v>311</v>
      </c>
      <c r="L69" s="19" t="s">
        <v>312</v>
      </c>
    </row>
    <row r="70" ht="21.75" customHeight="1">
      <c r="A70" s="19" t="s">
        <v>92</v>
      </c>
      <c r="B70" s="19" t="s">
        <v>281</v>
      </c>
      <c r="C70" s="19" t="s">
        <v>282</v>
      </c>
      <c r="D70" s="27" t="s">
        <v>313</v>
      </c>
      <c r="E70" s="27" t="s">
        <v>314</v>
      </c>
      <c r="G70" s="27">
        <v>96.0</v>
      </c>
      <c r="H70" s="19" t="s">
        <v>315</v>
      </c>
      <c r="I70" s="19" t="s">
        <v>316</v>
      </c>
      <c r="L70" s="19" t="s">
        <v>317</v>
      </c>
    </row>
    <row r="71" ht="21.75" customHeight="1">
      <c r="A71" s="19" t="s">
        <v>121</v>
      </c>
      <c r="B71" s="19" t="s">
        <v>318</v>
      </c>
      <c r="C71" s="19" t="s">
        <v>319</v>
      </c>
      <c r="D71" s="19" t="s">
        <v>320</v>
      </c>
      <c r="E71" s="19" t="s">
        <v>321</v>
      </c>
      <c r="G71" s="19">
        <v>5.0</v>
      </c>
      <c r="H71" s="19" t="s">
        <v>322</v>
      </c>
    </row>
    <row r="72">
      <c r="A72" s="19" t="s">
        <v>150</v>
      </c>
      <c r="B72" s="19" t="s">
        <v>318</v>
      </c>
      <c r="C72" s="19" t="s">
        <v>323</v>
      </c>
      <c r="D72" s="19" t="s">
        <v>324</v>
      </c>
    </row>
    <row r="73">
      <c r="A73" s="19" t="s">
        <v>150</v>
      </c>
      <c r="B73" s="19" t="s">
        <v>318</v>
      </c>
      <c r="C73" s="19" t="s">
        <v>325</v>
      </c>
      <c r="D73" s="23" t="s">
        <v>307</v>
      </c>
      <c r="E73" s="29" t="s">
        <v>326</v>
      </c>
      <c r="G73" s="23">
        <v>20.0</v>
      </c>
      <c r="H73" s="23" t="s">
        <v>327</v>
      </c>
    </row>
    <row r="74" ht="33.0" customHeight="1">
      <c r="A74" s="19" t="s">
        <v>92</v>
      </c>
      <c r="B74" s="19" t="s">
        <v>318</v>
      </c>
      <c r="C74" s="23" t="s">
        <v>328</v>
      </c>
      <c r="D74" s="30" t="s">
        <v>329</v>
      </c>
      <c r="E74" s="29" t="s">
        <v>330</v>
      </c>
      <c r="G74" s="30">
        <v>17.0</v>
      </c>
      <c r="H74" s="23" t="s">
        <v>331</v>
      </c>
      <c r="I74" s="23" t="s">
        <v>332</v>
      </c>
      <c r="J74" s="19" t="s">
        <v>333</v>
      </c>
      <c r="K74" s="19" t="s">
        <v>334</v>
      </c>
      <c r="L74" s="23" t="s">
        <v>335</v>
      </c>
    </row>
    <row r="75" ht="33.0" customHeight="1">
      <c r="A75" s="23" t="s">
        <v>92</v>
      </c>
      <c r="B75" s="23" t="s">
        <v>318</v>
      </c>
      <c r="C75" s="23" t="s">
        <v>336</v>
      </c>
      <c r="D75" s="30" t="s">
        <v>337</v>
      </c>
      <c r="E75" s="29" t="s">
        <v>338</v>
      </c>
      <c r="G75" s="30">
        <v>48.0</v>
      </c>
      <c r="H75" s="23" t="s">
        <v>339</v>
      </c>
      <c r="I75" s="23" t="s">
        <v>340</v>
      </c>
      <c r="J75" s="26"/>
      <c r="K75" s="23" t="s">
        <v>341</v>
      </c>
      <c r="L75" s="23" t="s">
        <v>342</v>
      </c>
    </row>
    <row r="76" ht="21.75" customHeight="1">
      <c r="A76" s="19" t="s">
        <v>92</v>
      </c>
      <c r="B76" s="19" t="s">
        <v>318</v>
      </c>
      <c r="C76" s="23" t="s">
        <v>336</v>
      </c>
      <c r="D76" s="30" t="s">
        <v>343</v>
      </c>
      <c r="E76" s="30" t="s">
        <v>344</v>
      </c>
      <c r="G76" s="30">
        <v>48.0</v>
      </c>
      <c r="H76" s="23" t="s">
        <v>339</v>
      </c>
      <c r="I76" s="23" t="s">
        <v>345</v>
      </c>
    </row>
    <row r="77">
      <c r="A77" s="19" t="s">
        <v>92</v>
      </c>
      <c r="B77" s="19" t="s">
        <v>318</v>
      </c>
      <c r="C77" s="23" t="s">
        <v>336</v>
      </c>
      <c r="D77" s="30" t="s">
        <v>346</v>
      </c>
      <c r="E77" s="29" t="s">
        <v>347</v>
      </c>
      <c r="G77" s="30">
        <v>48.0</v>
      </c>
      <c r="H77" s="23" t="s">
        <v>339</v>
      </c>
      <c r="I77" s="23" t="s">
        <v>348</v>
      </c>
    </row>
    <row r="78" ht="33.0" customHeight="1">
      <c r="A78" s="19" t="s">
        <v>150</v>
      </c>
      <c r="B78" s="19" t="s">
        <v>349</v>
      </c>
      <c r="C78" s="19" t="s">
        <v>94</v>
      </c>
      <c r="D78" s="19" t="s">
        <v>95</v>
      </c>
      <c r="E78" s="19" t="s">
        <v>96</v>
      </c>
      <c r="F78" s="19">
        <v>5.0</v>
      </c>
      <c r="G78" s="19">
        <v>5.0</v>
      </c>
      <c r="H78" s="19" t="s">
        <v>97</v>
      </c>
      <c r="I78" s="19" t="s">
        <v>98</v>
      </c>
    </row>
    <row r="79" ht="33.0" customHeight="1">
      <c r="A79" s="19" t="s">
        <v>92</v>
      </c>
      <c r="B79" s="19" t="s">
        <v>350</v>
      </c>
      <c r="C79" s="19" t="s">
        <v>351</v>
      </c>
      <c r="D79" s="19" t="s">
        <v>352</v>
      </c>
    </row>
    <row r="80">
      <c r="A80" s="19" t="s">
        <v>92</v>
      </c>
      <c r="B80" s="19" t="s">
        <v>350</v>
      </c>
      <c r="C80" s="19" t="s">
        <v>351</v>
      </c>
      <c r="D80" s="19" t="s">
        <v>353</v>
      </c>
    </row>
    <row r="116">
      <c r="F116" s="31"/>
      <c r="G116" s="31"/>
    </row>
    <row r="117">
      <c r="F117" s="31"/>
      <c r="G117" s="31"/>
    </row>
    <row r="118">
      <c r="F118" s="31"/>
      <c r="G118" s="31"/>
    </row>
    <row r="119">
      <c r="F119" s="31"/>
      <c r="G119" s="31"/>
    </row>
    <row r="120">
      <c r="F120" s="31"/>
      <c r="G120" s="31"/>
    </row>
    <row r="121">
      <c r="F121" s="31"/>
      <c r="G121" s="31"/>
    </row>
    <row r="122">
      <c r="F122" s="31"/>
      <c r="G122" s="31"/>
    </row>
    <row r="123">
      <c r="F123" s="31"/>
      <c r="G123" s="31"/>
    </row>
    <row r="124">
      <c r="F124" s="31"/>
      <c r="G124" s="31"/>
    </row>
    <row r="125">
      <c r="F125" s="31"/>
      <c r="G125" s="31"/>
    </row>
    <row r="126">
      <c r="F126" s="31"/>
      <c r="G126" s="31"/>
    </row>
    <row r="127">
      <c r="F127" s="31"/>
      <c r="G127" s="31"/>
    </row>
    <row r="128">
      <c r="F128" s="31"/>
      <c r="G128" s="31"/>
    </row>
    <row r="129">
      <c r="F129" s="31"/>
      <c r="G129" s="31"/>
    </row>
    <row r="130">
      <c r="F130" s="31"/>
      <c r="G130" s="31"/>
    </row>
    <row r="131">
      <c r="F131" s="31"/>
      <c r="G131" s="31"/>
    </row>
    <row r="132">
      <c r="F132" s="31"/>
      <c r="G132" s="31"/>
    </row>
    <row r="133">
      <c r="F133" s="31"/>
      <c r="G133" s="31"/>
    </row>
    <row r="134">
      <c r="F134" s="31"/>
      <c r="G134" s="31"/>
    </row>
    <row r="135">
      <c r="F135" s="31"/>
      <c r="G135" s="31"/>
    </row>
    <row r="136">
      <c r="F136" s="31"/>
      <c r="G136" s="31"/>
    </row>
    <row r="137">
      <c r="F137" s="31"/>
      <c r="G137" s="31"/>
    </row>
    <row r="138">
      <c r="F138" s="31"/>
      <c r="G138" s="31"/>
    </row>
    <row r="139">
      <c r="F139" s="31"/>
      <c r="G139" s="31"/>
    </row>
    <row r="140">
      <c r="F140" s="31"/>
      <c r="G140" s="31"/>
    </row>
    <row r="141">
      <c r="F141" s="31"/>
      <c r="G141" s="31"/>
    </row>
    <row r="142">
      <c r="F142" s="31"/>
      <c r="G142" s="31"/>
    </row>
    <row r="143">
      <c r="F143" s="31"/>
      <c r="G143" s="31"/>
    </row>
    <row r="144">
      <c r="F144" s="31"/>
      <c r="G144" s="31"/>
    </row>
    <row r="145">
      <c r="F145" s="31"/>
      <c r="G145" s="31"/>
    </row>
    <row r="146">
      <c r="F146" s="31"/>
      <c r="G146" s="31"/>
    </row>
    <row r="147">
      <c r="F147" s="31"/>
      <c r="G147" s="31"/>
    </row>
    <row r="148">
      <c r="F148" s="31"/>
      <c r="G148" s="31"/>
    </row>
    <row r="149">
      <c r="F149" s="31"/>
      <c r="G149" s="31"/>
    </row>
    <row r="150">
      <c r="F150" s="31"/>
      <c r="G150" s="31"/>
    </row>
    <row r="151">
      <c r="F151" s="31"/>
      <c r="G151" s="31"/>
    </row>
    <row r="152">
      <c r="F152" s="31"/>
      <c r="G152" s="31"/>
    </row>
    <row r="153">
      <c r="F153" s="31"/>
      <c r="G153" s="31"/>
    </row>
    <row r="154">
      <c r="F154" s="31"/>
      <c r="G154" s="31"/>
    </row>
    <row r="155">
      <c r="F155" s="31"/>
      <c r="G155" s="31"/>
    </row>
    <row r="156">
      <c r="F156" s="31"/>
      <c r="G156" s="31"/>
    </row>
    <row r="157">
      <c r="F157" s="31"/>
      <c r="G157" s="31"/>
    </row>
    <row r="158">
      <c r="F158" s="31"/>
      <c r="G158" s="31"/>
    </row>
    <row r="159">
      <c r="F159" s="31"/>
      <c r="G159" s="31"/>
    </row>
    <row r="160">
      <c r="F160" s="31"/>
      <c r="G160" s="31"/>
    </row>
    <row r="161">
      <c r="F161" s="31"/>
      <c r="G161" s="31"/>
    </row>
    <row r="162">
      <c r="F162" s="31"/>
      <c r="G162" s="31"/>
    </row>
    <row r="163">
      <c r="F163" s="31"/>
      <c r="G163" s="31"/>
    </row>
    <row r="164">
      <c r="F164" s="31"/>
      <c r="G164" s="31"/>
    </row>
    <row r="165">
      <c r="F165" s="31"/>
      <c r="G165" s="31"/>
    </row>
    <row r="166">
      <c r="F166" s="31"/>
      <c r="G166" s="31"/>
    </row>
    <row r="167">
      <c r="F167" s="31"/>
      <c r="G167" s="31"/>
    </row>
    <row r="168">
      <c r="F168" s="31"/>
      <c r="G168" s="31"/>
    </row>
    <row r="169">
      <c r="F169" s="31"/>
      <c r="G169" s="31"/>
    </row>
    <row r="170">
      <c r="F170" s="31"/>
      <c r="G170" s="31"/>
    </row>
    <row r="171">
      <c r="F171" s="31"/>
      <c r="G171" s="31"/>
    </row>
    <row r="172">
      <c r="F172" s="31"/>
      <c r="G172" s="31"/>
    </row>
    <row r="173">
      <c r="F173" s="31"/>
      <c r="G173" s="31"/>
    </row>
    <row r="174">
      <c r="F174" s="31"/>
      <c r="G174" s="31"/>
    </row>
    <row r="175">
      <c r="F175" s="31"/>
      <c r="G175" s="31"/>
    </row>
    <row r="176">
      <c r="F176" s="31"/>
      <c r="G176" s="31"/>
    </row>
    <row r="177">
      <c r="F177" s="31"/>
      <c r="G177" s="31"/>
    </row>
    <row r="178">
      <c r="F178" s="31"/>
      <c r="G178" s="31"/>
    </row>
    <row r="179">
      <c r="F179" s="31"/>
      <c r="G179" s="31"/>
    </row>
    <row r="180">
      <c r="F180" s="31"/>
      <c r="G180" s="31"/>
    </row>
    <row r="181">
      <c r="F181" s="31"/>
      <c r="G181" s="31"/>
    </row>
    <row r="182">
      <c r="F182" s="31"/>
      <c r="G182" s="31"/>
    </row>
    <row r="183">
      <c r="F183" s="31"/>
      <c r="G183" s="31"/>
    </row>
    <row r="184">
      <c r="F184" s="31"/>
      <c r="G184" s="31"/>
    </row>
    <row r="185">
      <c r="F185" s="31"/>
      <c r="G185" s="31"/>
    </row>
    <row r="186">
      <c r="F186" s="31"/>
      <c r="G186" s="31"/>
    </row>
    <row r="187">
      <c r="F187" s="31"/>
      <c r="G187" s="31"/>
    </row>
    <row r="188">
      <c r="F188" s="31"/>
      <c r="G188" s="31"/>
    </row>
    <row r="189">
      <c r="F189" s="31"/>
      <c r="G189" s="31"/>
    </row>
    <row r="190">
      <c r="F190" s="31"/>
      <c r="G190" s="31"/>
    </row>
    <row r="191">
      <c r="F191" s="31"/>
      <c r="G191" s="31"/>
    </row>
    <row r="192">
      <c r="F192" s="31"/>
      <c r="G192" s="31"/>
    </row>
    <row r="193">
      <c r="F193" s="31"/>
      <c r="G193" s="31"/>
    </row>
    <row r="194">
      <c r="F194" s="31"/>
      <c r="G194" s="31"/>
    </row>
    <row r="195">
      <c r="F195" s="31"/>
      <c r="G195" s="31"/>
    </row>
    <row r="196">
      <c r="F196" s="31"/>
      <c r="G196" s="31"/>
    </row>
    <row r="197">
      <c r="F197" s="31"/>
      <c r="G197" s="31"/>
    </row>
    <row r="198">
      <c r="F198" s="31"/>
      <c r="G198" s="31"/>
    </row>
    <row r="199">
      <c r="F199" s="31"/>
      <c r="G199" s="31"/>
    </row>
    <row r="200">
      <c r="F200" s="31"/>
      <c r="G200" s="31"/>
    </row>
    <row r="201">
      <c r="F201" s="31"/>
      <c r="G201" s="31"/>
    </row>
    <row r="202">
      <c r="F202" s="31"/>
      <c r="G202" s="31"/>
    </row>
    <row r="203">
      <c r="F203" s="31"/>
      <c r="G203" s="31"/>
    </row>
    <row r="204">
      <c r="F204" s="31"/>
      <c r="G204" s="31"/>
    </row>
    <row r="205">
      <c r="F205" s="31"/>
      <c r="G205" s="31"/>
    </row>
    <row r="206">
      <c r="F206" s="31"/>
      <c r="G206" s="31"/>
    </row>
    <row r="207">
      <c r="F207" s="31"/>
      <c r="G207" s="31"/>
    </row>
    <row r="208">
      <c r="F208" s="31"/>
      <c r="G208" s="31"/>
    </row>
    <row r="209">
      <c r="F209" s="31"/>
      <c r="G209" s="31"/>
    </row>
    <row r="210">
      <c r="F210" s="31"/>
      <c r="G210" s="31"/>
    </row>
  </sheetData>
  <mergeCells count="10">
    <mergeCell ref="F6:G6"/>
    <mergeCell ref="G9:H9"/>
    <mergeCell ref="E74:F74"/>
    <mergeCell ref="E75:F75"/>
    <mergeCell ref="E77:F77"/>
    <mergeCell ref="A1:D1"/>
    <mergeCell ref="B3:D3"/>
    <mergeCell ref="B4:D4"/>
    <mergeCell ref="B5:D5"/>
    <mergeCell ref="E73:F7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4.5"/>
    <col customWidth="1" min="2" max="2" width="8.13"/>
    <col customWidth="1" min="3" max="3" width="8.25"/>
    <col customWidth="1" min="4" max="21" width="8.13"/>
  </cols>
  <sheetData>
    <row r="1">
      <c r="A1" s="32" t="s">
        <v>354</v>
      </c>
      <c r="B1" s="33" t="s">
        <v>355</v>
      </c>
    </row>
    <row r="2">
      <c r="B2" s="33" t="s">
        <v>356</v>
      </c>
    </row>
    <row r="4">
      <c r="A4" s="32" t="s">
        <v>357</v>
      </c>
      <c r="B4" s="32" t="s">
        <v>358</v>
      </c>
      <c r="C4" s="34" t="s">
        <v>359</v>
      </c>
      <c r="O4" s="32" t="s">
        <v>360</v>
      </c>
    </row>
    <row r="5">
      <c r="C5" s="32" t="s">
        <v>361</v>
      </c>
      <c r="D5" s="32" t="s">
        <v>362</v>
      </c>
      <c r="E5" s="32" t="s">
        <v>363</v>
      </c>
      <c r="F5" s="32" t="s">
        <v>364</v>
      </c>
      <c r="G5" s="32" t="s">
        <v>365</v>
      </c>
      <c r="H5" s="32" t="s">
        <v>366</v>
      </c>
      <c r="I5" s="32" t="s">
        <v>367</v>
      </c>
      <c r="J5" s="32" t="s">
        <v>368</v>
      </c>
      <c r="K5" s="32" t="s">
        <v>369</v>
      </c>
      <c r="L5" s="32" t="s">
        <v>370</v>
      </c>
      <c r="M5" s="32" t="s">
        <v>371</v>
      </c>
      <c r="N5" s="32" t="s">
        <v>372</v>
      </c>
    </row>
    <row r="6" ht="11.25" customHeight="1"/>
    <row r="7">
      <c r="A7" s="8" t="s">
        <v>29</v>
      </c>
      <c r="B7" s="8" t="s">
        <v>231</v>
      </c>
      <c r="E7" s="8">
        <v>9.0</v>
      </c>
      <c r="F7" s="8">
        <v>6.0</v>
      </c>
      <c r="G7" s="8">
        <v>7.0</v>
      </c>
      <c r="H7" s="8">
        <v>12.0</v>
      </c>
      <c r="I7" s="8">
        <v>7.0</v>
      </c>
      <c r="J7" s="8">
        <v>7.0</v>
      </c>
      <c r="K7" s="8">
        <v>12.0</v>
      </c>
      <c r="L7" s="8">
        <v>6.0</v>
      </c>
      <c r="M7" s="8">
        <v>6.0</v>
      </c>
      <c r="N7" s="8">
        <v>12.0</v>
      </c>
      <c r="O7" s="35">
        <f t="shared" ref="O7:O23" si="1">Sum(B7:N7)</f>
        <v>84</v>
      </c>
    </row>
    <row r="8">
      <c r="A8" s="8" t="s">
        <v>373</v>
      </c>
      <c r="B8" s="8" t="s">
        <v>231</v>
      </c>
      <c r="C8" s="8">
        <v>15.0</v>
      </c>
      <c r="D8" s="8">
        <v>9.0</v>
      </c>
      <c r="E8" s="8">
        <v>1.0</v>
      </c>
      <c r="F8" s="8">
        <v>6.0</v>
      </c>
      <c r="G8" s="8">
        <v>8.0</v>
      </c>
      <c r="H8" s="8">
        <v>7.0</v>
      </c>
      <c r="I8" s="8">
        <v>7.0</v>
      </c>
      <c r="J8" s="8">
        <v>7.0</v>
      </c>
      <c r="K8" s="8">
        <v>8.0</v>
      </c>
      <c r="L8" s="8">
        <v>6.0</v>
      </c>
      <c r="M8" s="8">
        <v>6.0</v>
      </c>
      <c r="N8" s="8">
        <v>4.0</v>
      </c>
      <c r="O8" s="35">
        <f t="shared" si="1"/>
        <v>84</v>
      </c>
    </row>
    <row r="9">
      <c r="A9" s="8" t="s">
        <v>40</v>
      </c>
      <c r="B9" s="8" t="s">
        <v>231</v>
      </c>
      <c r="D9" s="8">
        <v>3.0</v>
      </c>
      <c r="J9" s="8">
        <v>8.0</v>
      </c>
      <c r="L9" s="8">
        <v>3.0</v>
      </c>
      <c r="M9" s="8">
        <v>10.0</v>
      </c>
      <c r="O9" s="35">
        <f t="shared" si="1"/>
        <v>24</v>
      </c>
    </row>
    <row r="10">
      <c r="A10" s="8" t="s">
        <v>374</v>
      </c>
      <c r="B10" s="8" t="s">
        <v>231</v>
      </c>
      <c r="F10" s="8">
        <v>7.0</v>
      </c>
      <c r="I10" s="8">
        <v>8.0</v>
      </c>
      <c r="L10" s="8">
        <v>6.0</v>
      </c>
      <c r="N10" s="8">
        <v>6.0</v>
      </c>
      <c r="O10" s="35">
        <f t="shared" si="1"/>
        <v>27</v>
      </c>
    </row>
    <row r="11">
      <c r="A11" s="8" t="s">
        <v>375</v>
      </c>
      <c r="B11" s="8" t="s">
        <v>231</v>
      </c>
      <c r="O11" s="35">
        <f t="shared" si="1"/>
        <v>0</v>
      </c>
    </row>
    <row r="12">
      <c r="A12" s="8" t="s">
        <v>376</v>
      </c>
      <c r="B12" s="8" t="s">
        <v>231</v>
      </c>
      <c r="O12" s="35">
        <f t="shared" si="1"/>
        <v>0</v>
      </c>
    </row>
    <row r="13">
      <c r="A13" s="8" t="s">
        <v>377</v>
      </c>
      <c r="O13" s="35">
        <f t="shared" si="1"/>
        <v>0</v>
      </c>
    </row>
    <row r="14">
      <c r="A14" s="36" t="s">
        <v>378</v>
      </c>
      <c r="B14" s="36" t="s">
        <v>231</v>
      </c>
      <c r="C14" s="35">
        <f t="shared" ref="C14:N14" si="2">Sum(C5:C12)</f>
        <v>15</v>
      </c>
      <c r="D14" s="35">
        <f t="shared" si="2"/>
        <v>12</v>
      </c>
      <c r="E14" s="35">
        <f t="shared" si="2"/>
        <v>10</v>
      </c>
      <c r="F14" s="35">
        <f t="shared" si="2"/>
        <v>19</v>
      </c>
      <c r="G14" s="35">
        <f t="shared" si="2"/>
        <v>15</v>
      </c>
      <c r="H14" s="35">
        <f t="shared" si="2"/>
        <v>19</v>
      </c>
      <c r="I14" s="35">
        <f t="shared" si="2"/>
        <v>22</v>
      </c>
      <c r="J14" s="35">
        <f t="shared" si="2"/>
        <v>22</v>
      </c>
      <c r="K14" s="35">
        <f t="shared" si="2"/>
        <v>20</v>
      </c>
      <c r="L14" s="35">
        <f t="shared" si="2"/>
        <v>21</v>
      </c>
      <c r="M14" s="35">
        <f t="shared" si="2"/>
        <v>22</v>
      </c>
      <c r="N14" s="35">
        <f t="shared" si="2"/>
        <v>22</v>
      </c>
      <c r="O14" s="35">
        <f t="shared" si="1"/>
        <v>219</v>
      </c>
    </row>
    <row r="15">
      <c r="A15" s="8" t="s">
        <v>29</v>
      </c>
      <c r="B15" s="8" t="s">
        <v>122</v>
      </c>
      <c r="C15" s="8">
        <v>2.0</v>
      </c>
      <c r="D15" s="8">
        <v>2.0</v>
      </c>
      <c r="E15" s="8">
        <v>12.0</v>
      </c>
      <c r="H15" s="8">
        <v>1.0</v>
      </c>
      <c r="O15" s="35">
        <f t="shared" si="1"/>
        <v>17</v>
      </c>
    </row>
    <row r="16">
      <c r="A16" s="8" t="s">
        <v>373</v>
      </c>
      <c r="B16" s="8" t="s">
        <v>122</v>
      </c>
      <c r="C16" s="8">
        <v>10.0</v>
      </c>
      <c r="D16" s="8">
        <v>2.0</v>
      </c>
      <c r="E16" s="8">
        <v>3.0</v>
      </c>
      <c r="H16" s="8">
        <v>1.0</v>
      </c>
      <c r="O16" s="35">
        <f t="shared" si="1"/>
        <v>16</v>
      </c>
    </row>
    <row r="17">
      <c r="A17" s="8" t="s">
        <v>40</v>
      </c>
      <c r="B17" s="8" t="s">
        <v>122</v>
      </c>
      <c r="C17" s="8">
        <v>0.0</v>
      </c>
      <c r="D17" s="8">
        <v>0.0</v>
      </c>
      <c r="E17" s="8">
        <v>0.0</v>
      </c>
      <c r="H17" s="8">
        <v>0.0</v>
      </c>
      <c r="O17" s="35">
        <f t="shared" si="1"/>
        <v>0</v>
      </c>
    </row>
    <row r="18">
      <c r="A18" s="8" t="s">
        <v>374</v>
      </c>
      <c r="B18" s="8" t="s">
        <v>122</v>
      </c>
      <c r="C18" s="8">
        <v>1.0</v>
      </c>
      <c r="D18" s="8">
        <v>0.0</v>
      </c>
      <c r="E18" s="8">
        <v>0.0</v>
      </c>
      <c r="H18" s="8">
        <v>0.0</v>
      </c>
      <c r="O18" s="35">
        <f t="shared" si="1"/>
        <v>1</v>
      </c>
    </row>
    <row r="19">
      <c r="A19" s="8" t="s">
        <v>375</v>
      </c>
      <c r="B19" s="8" t="s">
        <v>122</v>
      </c>
      <c r="C19" s="8">
        <v>3.0</v>
      </c>
      <c r="D19" s="8">
        <v>4.0</v>
      </c>
      <c r="E19" s="8">
        <v>1.0</v>
      </c>
      <c r="H19" s="8">
        <v>0.0</v>
      </c>
      <c r="O19" s="35">
        <f t="shared" si="1"/>
        <v>8</v>
      </c>
    </row>
    <row r="20">
      <c r="A20" s="8" t="s">
        <v>376</v>
      </c>
      <c r="B20" s="8" t="s">
        <v>122</v>
      </c>
      <c r="C20" s="8">
        <v>5.0</v>
      </c>
      <c r="D20" s="8">
        <v>4.0</v>
      </c>
      <c r="E20" s="8">
        <v>4.0</v>
      </c>
      <c r="H20" s="8">
        <v>2.0</v>
      </c>
      <c r="O20" s="35">
        <f t="shared" si="1"/>
        <v>15</v>
      </c>
    </row>
    <row r="21">
      <c r="A21" s="8" t="s">
        <v>151</v>
      </c>
      <c r="B21" s="8" t="s">
        <v>122</v>
      </c>
      <c r="C21" s="8">
        <v>3.0</v>
      </c>
      <c r="D21" s="8">
        <v>2.0</v>
      </c>
      <c r="E21" s="8">
        <v>3.0</v>
      </c>
      <c r="F21" s="8">
        <v>12.0</v>
      </c>
      <c r="G21" s="8">
        <v>12.0</v>
      </c>
      <c r="H21" s="8">
        <v>20.0</v>
      </c>
      <c r="O21" s="35">
        <f t="shared" si="1"/>
        <v>52</v>
      </c>
    </row>
    <row r="22">
      <c r="A22" s="8" t="s">
        <v>379</v>
      </c>
      <c r="B22" s="8" t="s">
        <v>122</v>
      </c>
      <c r="C22" s="8">
        <v>2.0</v>
      </c>
      <c r="D22" s="8">
        <v>6.0</v>
      </c>
      <c r="E22" s="8">
        <v>1.0</v>
      </c>
      <c r="G22" s="8">
        <v>1.0</v>
      </c>
      <c r="H22" s="8">
        <v>1.0</v>
      </c>
      <c r="O22" s="35">
        <f t="shared" si="1"/>
        <v>11</v>
      </c>
    </row>
    <row r="23">
      <c r="A23" s="36" t="s">
        <v>378</v>
      </c>
      <c r="B23" s="36" t="s">
        <v>122</v>
      </c>
      <c r="C23" s="35">
        <f t="shared" ref="C23:N23" si="3">Sum(C15:C22)</f>
        <v>26</v>
      </c>
      <c r="D23" s="35">
        <f t="shared" si="3"/>
        <v>20</v>
      </c>
      <c r="E23" s="35">
        <f t="shared" si="3"/>
        <v>24</v>
      </c>
      <c r="F23" s="35">
        <f t="shared" si="3"/>
        <v>12</v>
      </c>
      <c r="G23" s="35">
        <f t="shared" si="3"/>
        <v>13</v>
      </c>
      <c r="H23" s="35">
        <f t="shared" si="3"/>
        <v>25</v>
      </c>
      <c r="I23" s="35">
        <f t="shared" si="3"/>
        <v>0</v>
      </c>
      <c r="J23" s="35">
        <f t="shared" si="3"/>
        <v>0</v>
      </c>
      <c r="K23" s="35">
        <f t="shared" si="3"/>
        <v>0</v>
      </c>
      <c r="L23" s="35">
        <f t="shared" si="3"/>
        <v>0</v>
      </c>
      <c r="M23" s="35">
        <f t="shared" si="3"/>
        <v>0</v>
      </c>
      <c r="N23" s="35">
        <f t="shared" si="3"/>
        <v>0</v>
      </c>
      <c r="O23" s="35">
        <f t="shared" si="1"/>
        <v>120</v>
      </c>
    </row>
  </sheetData>
  <mergeCells count="3">
    <mergeCell ref="B1:O1"/>
    <mergeCell ref="B2:O2"/>
    <mergeCell ref="C4:N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7.13"/>
    <col customWidth="1" min="2" max="2" width="11.5"/>
    <col customWidth="1" min="3" max="3" width="5.75"/>
    <col customWidth="1" min="4" max="4" width="12.38"/>
    <col customWidth="1" min="5" max="5" width="5.75"/>
    <col customWidth="1" min="6" max="6" width="11.5"/>
    <col customWidth="1" min="7" max="7" width="5.75"/>
    <col customWidth="1" min="8" max="8" width="11.5"/>
    <col customWidth="1" min="9" max="9" width="5.75"/>
    <col customWidth="1" min="10" max="10" width="12.38"/>
    <col customWidth="1" min="11" max="11" width="5.75"/>
    <col customWidth="1" min="12" max="12" width="11.5"/>
    <col customWidth="1" min="13" max="13" width="5.75"/>
    <col customWidth="1" min="14" max="14" width="9.63"/>
    <col customWidth="1" min="15" max="15" width="7.63"/>
    <col customWidth="1" min="16" max="16" width="1.0"/>
    <col customWidth="1" min="17" max="17" width="13.38"/>
    <col customWidth="1" min="18" max="19" width="7.63"/>
    <col customWidth="1" min="20" max="20" width="13.38"/>
    <col customWidth="1" min="21" max="21" width="12.38"/>
    <col customWidth="1" min="22" max="22" width="0.13"/>
    <col customWidth="1" min="23" max="23" width="8.63"/>
    <col customWidth="1" min="24" max="25" width="7.63"/>
    <col customWidth="1" min="26" max="26" width="8.13"/>
  </cols>
  <sheetData>
    <row r="1">
      <c r="A1" s="5" t="s">
        <v>380</v>
      </c>
    </row>
    <row r="2">
      <c r="B2" s="10" t="s">
        <v>381</v>
      </c>
    </row>
    <row r="3">
      <c r="B3" s="10" t="s">
        <v>382</v>
      </c>
    </row>
    <row r="4">
      <c r="B4" s="10" t="s">
        <v>383</v>
      </c>
    </row>
    <row r="5">
      <c r="B5" s="10" t="s">
        <v>384</v>
      </c>
    </row>
    <row r="6">
      <c r="B6" s="37"/>
      <c r="N6" s="38"/>
      <c r="O6" s="38"/>
      <c r="Q6" s="3" t="s">
        <v>385</v>
      </c>
      <c r="W6" s="3" t="s">
        <v>386</v>
      </c>
    </row>
    <row r="7">
      <c r="B7" s="5" t="s">
        <v>53</v>
      </c>
      <c r="C7" s="5" t="s">
        <v>387</v>
      </c>
      <c r="D7" s="5" t="s">
        <v>53</v>
      </c>
      <c r="E7" s="5" t="s">
        <v>387</v>
      </c>
      <c r="F7" s="5" t="s">
        <v>53</v>
      </c>
      <c r="G7" s="5" t="s">
        <v>387</v>
      </c>
      <c r="H7" s="5" t="s">
        <v>53</v>
      </c>
      <c r="I7" s="5" t="s">
        <v>387</v>
      </c>
      <c r="J7" s="5" t="s">
        <v>53</v>
      </c>
      <c r="K7" s="5" t="s">
        <v>387</v>
      </c>
      <c r="L7" s="5" t="s">
        <v>53</v>
      </c>
      <c r="M7" s="5" t="s">
        <v>387</v>
      </c>
      <c r="N7" s="5" t="s">
        <v>388</v>
      </c>
      <c r="O7" s="5" t="s">
        <v>389</v>
      </c>
      <c r="Q7" s="5" t="s">
        <v>73</v>
      </c>
      <c r="R7" s="5" t="s">
        <v>390</v>
      </c>
      <c r="S7" s="5" t="s">
        <v>79</v>
      </c>
      <c r="T7" s="5" t="s">
        <v>391</v>
      </c>
      <c r="U7" s="5" t="s">
        <v>392</v>
      </c>
      <c r="W7" s="5" t="s">
        <v>53</v>
      </c>
      <c r="X7" s="5" t="s">
        <v>393</v>
      </c>
      <c r="Y7" s="5" t="s">
        <v>394</v>
      </c>
    </row>
    <row r="9" ht="27.0" customHeight="1">
      <c r="A9" s="5" t="s">
        <v>122</v>
      </c>
      <c r="B9" s="39" t="s">
        <v>395</v>
      </c>
      <c r="C9" s="39">
        <v>15.0</v>
      </c>
      <c r="D9" s="39" t="s">
        <v>373</v>
      </c>
      <c r="E9" s="39">
        <v>25.0</v>
      </c>
      <c r="F9" s="39" t="s">
        <v>151</v>
      </c>
      <c r="G9" s="39">
        <v>30.0</v>
      </c>
      <c r="H9" s="39" t="s">
        <v>396</v>
      </c>
      <c r="I9" s="39">
        <v>15.0</v>
      </c>
      <c r="J9" s="39" t="s">
        <v>397</v>
      </c>
      <c r="K9" s="39">
        <v>30.0</v>
      </c>
      <c r="L9" s="39" t="s">
        <v>398</v>
      </c>
      <c r="M9" s="39">
        <v>15.0</v>
      </c>
      <c r="N9" s="39">
        <v>5.0</v>
      </c>
      <c r="O9" s="39">
        <v>20.0</v>
      </c>
      <c r="P9" s="40"/>
      <c r="Q9" s="39">
        <v>15.0</v>
      </c>
      <c r="R9" s="39">
        <v>50.0</v>
      </c>
      <c r="S9" s="39">
        <v>5.0</v>
      </c>
      <c r="T9" s="39">
        <v>5.0</v>
      </c>
      <c r="U9" s="39">
        <v>15.0</v>
      </c>
      <c r="V9" s="41"/>
      <c r="W9" s="42">
        <f>C9+E9+G9+I9+K9+M9+N9+O9</f>
        <v>155</v>
      </c>
      <c r="X9" s="43">
        <f>Q9+R9+S9+T9+U9</f>
        <v>90</v>
      </c>
      <c r="Y9" s="43">
        <f>W9+X9</f>
        <v>245</v>
      </c>
    </row>
    <row r="10" ht="18.0" customHeight="1">
      <c r="A10" s="5" t="s">
        <v>231</v>
      </c>
      <c r="B10" s="39" t="s">
        <v>373</v>
      </c>
      <c r="C10" s="39">
        <v>84.0</v>
      </c>
      <c r="D10" s="39">
        <v>672.0</v>
      </c>
      <c r="E10" s="39" t="s">
        <v>29</v>
      </c>
      <c r="F10" s="39">
        <v>84.0</v>
      </c>
      <c r="G10" s="39">
        <v>672.0</v>
      </c>
      <c r="H10" s="39" t="s">
        <v>374</v>
      </c>
      <c r="I10" s="39">
        <v>27.0</v>
      </c>
      <c r="J10" s="39">
        <v>216.0</v>
      </c>
      <c r="K10" s="39" t="s">
        <v>40</v>
      </c>
      <c r="L10" s="39">
        <v>24.0</v>
      </c>
      <c r="M10" s="39">
        <v>192.0</v>
      </c>
      <c r="N10" s="39" t="s">
        <v>399</v>
      </c>
      <c r="O10" s="39">
        <v>45.0</v>
      </c>
      <c r="P10" s="39">
        <v>360.0</v>
      </c>
      <c r="Q10" s="40"/>
      <c r="R10" s="40"/>
      <c r="S10" s="40"/>
      <c r="T10" s="40"/>
      <c r="U10" s="40"/>
      <c r="V10" s="41"/>
      <c r="W10" s="41"/>
      <c r="X10" s="44"/>
      <c r="Y10" s="44"/>
      <c r="Z10" s="8">
        <v>15.0</v>
      </c>
    </row>
    <row r="11">
      <c r="A11" s="5" t="s">
        <v>263</v>
      </c>
      <c r="B11" s="40"/>
      <c r="C11" s="40"/>
      <c r="D11" s="40"/>
      <c r="E11" s="40"/>
      <c r="F11" s="40"/>
      <c r="G11" s="40"/>
      <c r="H11" s="40"/>
      <c r="I11" s="40"/>
      <c r="J11" s="40"/>
      <c r="K11" s="40"/>
      <c r="L11" s="40"/>
      <c r="M11" s="40"/>
      <c r="N11" s="40"/>
      <c r="O11" s="40"/>
      <c r="P11" s="40"/>
      <c r="Q11" s="40"/>
      <c r="R11" s="40"/>
      <c r="S11" s="40"/>
      <c r="T11" s="40"/>
      <c r="U11" s="40"/>
      <c r="V11" s="41"/>
      <c r="W11" s="42">
        <f>C11+E11+G11+I11+K11+M11</f>
        <v>0</v>
      </c>
      <c r="X11" s="43">
        <f>Q11+R11+S11+N11+O11+U11</f>
        <v>0</v>
      </c>
      <c r="Y11" s="43">
        <f>W11+X11</f>
        <v>0</v>
      </c>
    </row>
    <row r="12">
      <c r="A12" s="5" t="s">
        <v>318</v>
      </c>
      <c r="B12" s="39" t="s">
        <v>400</v>
      </c>
      <c r="C12" s="39">
        <v>8.0</v>
      </c>
      <c r="D12" s="39" t="s">
        <v>401</v>
      </c>
      <c r="E12" s="39">
        <v>10.0</v>
      </c>
      <c r="F12" s="39" t="s">
        <v>373</v>
      </c>
      <c r="G12" s="39">
        <v>128.0</v>
      </c>
      <c r="H12" s="39" t="s">
        <v>29</v>
      </c>
      <c r="I12" s="39">
        <v>32.0</v>
      </c>
      <c r="J12" s="39" t="s">
        <v>402</v>
      </c>
      <c r="K12" s="39">
        <v>30.0</v>
      </c>
      <c r="L12" s="40"/>
      <c r="M12" s="40"/>
      <c r="N12" s="40"/>
      <c r="O12" s="40"/>
      <c r="P12" s="40"/>
      <c r="Q12" s="40"/>
      <c r="R12" s="40"/>
      <c r="S12" s="40"/>
      <c r="T12" s="40"/>
      <c r="U12" s="41"/>
      <c r="V12" s="42">
        <f>T12+S12+R12+Q12+P12+M12+K12+I12+G12+E12+C12+O12</f>
        <v>208</v>
      </c>
    </row>
    <row r="13" ht="18.0" customHeight="1">
      <c r="A13" s="5" t="s">
        <v>281</v>
      </c>
      <c r="B13" s="39" t="s">
        <v>395</v>
      </c>
      <c r="C13" s="39">
        <v>20.0</v>
      </c>
      <c r="D13" s="39" t="s">
        <v>403</v>
      </c>
      <c r="E13" s="39">
        <v>100.0</v>
      </c>
      <c r="F13" s="39" t="s">
        <v>404</v>
      </c>
      <c r="G13" s="39">
        <v>50.0</v>
      </c>
      <c r="H13" s="39" t="s">
        <v>405</v>
      </c>
      <c r="I13" s="39">
        <v>10.0</v>
      </c>
      <c r="J13" s="40"/>
      <c r="K13" s="40"/>
      <c r="L13" s="39" t="s">
        <v>406</v>
      </c>
      <c r="M13" s="39">
        <v>10.0</v>
      </c>
      <c r="N13" s="40"/>
      <c r="O13" s="39">
        <v>2.0</v>
      </c>
      <c r="P13" s="39">
        <v>40.0</v>
      </c>
      <c r="Q13" s="39">
        <v>2.0</v>
      </c>
      <c r="R13" s="39">
        <v>2.0</v>
      </c>
      <c r="S13" s="39">
        <v>10.0</v>
      </c>
      <c r="T13" s="39">
        <v>2.0</v>
      </c>
      <c r="U13" s="41"/>
    </row>
    <row r="14">
      <c r="A14" s="5" t="s">
        <v>407</v>
      </c>
      <c r="B14" s="40"/>
      <c r="C14" s="40"/>
      <c r="D14" s="40"/>
      <c r="E14" s="40"/>
      <c r="F14" s="40"/>
      <c r="G14" s="40"/>
      <c r="H14" s="40"/>
      <c r="I14" s="40"/>
      <c r="J14" s="40"/>
      <c r="K14" s="40"/>
      <c r="L14" s="40"/>
      <c r="M14" s="40"/>
      <c r="N14" s="40"/>
      <c r="O14" s="40"/>
      <c r="P14" s="40"/>
      <c r="Q14" s="40"/>
      <c r="R14" s="40"/>
      <c r="S14" s="40"/>
      <c r="T14" s="40"/>
      <c r="U14" s="40"/>
      <c r="V14" s="41"/>
      <c r="W14" s="42">
        <f t="shared" ref="W14:W20" si="1">C14+E14+G14+I14+K14+M14</f>
        <v>0</v>
      </c>
      <c r="X14" s="43">
        <f t="shared" ref="X14:X20" si="2">Q14+R14+S14+N14+O14+U14</f>
        <v>0</v>
      </c>
      <c r="Y14" s="43">
        <f t="shared" ref="Y14:Y20" si="3">W14+X14</f>
        <v>0</v>
      </c>
    </row>
    <row r="15">
      <c r="A15" s="5" t="s">
        <v>408</v>
      </c>
      <c r="C15" s="40"/>
      <c r="D15" s="40"/>
      <c r="E15" s="40"/>
      <c r="F15" s="40"/>
      <c r="G15" s="40"/>
      <c r="H15" s="40"/>
      <c r="I15" s="40"/>
      <c r="J15" s="40"/>
      <c r="K15" s="40"/>
      <c r="L15" s="40"/>
      <c r="M15" s="40"/>
      <c r="N15" s="40"/>
      <c r="O15" s="40"/>
      <c r="P15" s="40"/>
      <c r="Q15" s="40"/>
      <c r="R15" s="40"/>
      <c r="S15" s="40"/>
      <c r="T15" s="40"/>
      <c r="U15" s="40"/>
      <c r="V15" s="41"/>
      <c r="W15" s="42">
        <f t="shared" si="1"/>
        <v>0</v>
      </c>
      <c r="X15" s="43">
        <f t="shared" si="2"/>
        <v>0</v>
      </c>
      <c r="Y15" s="43">
        <f t="shared" si="3"/>
        <v>0</v>
      </c>
    </row>
    <row r="16">
      <c r="A16" s="5" t="s">
        <v>409</v>
      </c>
      <c r="B16" s="40"/>
      <c r="C16" s="40"/>
      <c r="D16" s="40"/>
      <c r="E16" s="40"/>
      <c r="F16" s="40"/>
      <c r="G16" s="40"/>
      <c r="H16" s="40"/>
      <c r="I16" s="40"/>
      <c r="J16" s="40"/>
      <c r="K16" s="40"/>
      <c r="L16" s="40"/>
      <c r="M16" s="40"/>
      <c r="N16" s="40"/>
      <c r="O16" s="40"/>
      <c r="P16" s="40"/>
      <c r="Q16" s="40"/>
      <c r="R16" s="40"/>
      <c r="S16" s="40"/>
      <c r="T16" s="40"/>
      <c r="U16" s="40"/>
      <c r="V16" s="41"/>
      <c r="W16" s="42">
        <f t="shared" si="1"/>
        <v>0</v>
      </c>
      <c r="X16" s="43">
        <f t="shared" si="2"/>
        <v>0</v>
      </c>
      <c r="Y16" s="43">
        <f t="shared" si="3"/>
        <v>0</v>
      </c>
    </row>
    <row r="17">
      <c r="A17" s="5" t="s">
        <v>410</v>
      </c>
      <c r="B17" s="40"/>
      <c r="C17" s="40"/>
      <c r="D17" s="40"/>
      <c r="E17" s="40"/>
      <c r="F17" s="40"/>
      <c r="G17" s="40"/>
      <c r="H17" s="40"/>
      <c r="I17" s="40"/>
      <c r="J17" s="40"/>
      <c r="K17" s="40"/>
      <c r="L17" s="40"/>
      <c r="M17" s="40"/>
      <c r="N17" s="40"/>
      <c r="O17" s="40"/>
      <c r="P17" s="40"/>
      <c r="Q17" s="40"/>
      <c r="R17" s="40"/>
      <c r="S17" s="40"/>
      <c r="T17" s="40"/>
      <c r="U17" s="40"/>
      <c r="V17" s="41"/>
      <c r="W17" s="42">
        <f t="shared" si="1"/>
        <v>0</v>
      </c>
      <c r="X17" s="43">
        <f t="shared" si="2"/>
        <v>0</v>
      </c>
      <c r="Y17" s="43">
        <f t="shared" si="3"/>
        <v>0</v>
      </c>
    </row>
    <row r="18">
      <c r="A18" s="5" t="s">
        <v>411</v>
      </c>
      <c r="B18" s="40"/>
      <c r="C18" s="40"/>
      <c r="D18" s="40"/>
      <c r="E18" s="40"/>
      <c r="F18" s="40"/>
      <c r="G18" s="40"/>
      <c r="H18" s="40"/>
      <c r="I18" s="40"/>
      <c r="J18" s="40"/>
      <c r="K18" s="40"/>
      <c r="L18" s="40"/>
      <c r="M18" s="40"/>
      <c r="N18" s="40"/>
      <c r="O18" s="40"/>
      <c r="P18" s="40"/>
      <c r="Q18" s="40"/>
      <c r="R18" s="40"/>
      <c r="S18" s="40"/>
      <c r="T18" s="40"/>
      <c r="U18" s="40"/>
      <c r="V18" s="41"/>
      <c r="W18" s="42">
        <f t="shared" si="1"/>
        <v>0</v>
      </c>
      <c r="X18" s="43">
        <f t="shared" si="2"/>
        <v>0</v>
      </c>
      <c r="Y18" s="43">
        <f t="shared" si="3"/>
        <v>0</v>
      </c>
    </row>
    <row r="19">
      <c r="A19" s="5" t="s">
        <v>412</v>
      </c>
      <c r="B19" s="40"/>
      <c r="C19" s="40"/>
      <c r="D19" s="40"/>
      <c r="E19" s="40"/>
      <c r="F19" s="40"/>
      <c r="G19" s="40"/>
      <c r="H19" s="40"/>
      <c r="I19" s="40"/>
      <c r="J19" s="40"/>
      <c r="K19" s="40"/>
      <c r="L19" s="40"/>
      <c r="M19" s="40"/>
      <c r="N19" s="40"/>
      <c r="O19" s="40"/>
      <c r="P19" s="40"/>
      <c r="Q19" s="40"/>
      <c r="R19" s="40"/>
      <c r="S19" s="40"/>
      <c r="T19" s="40"/>
      <c r="U19" s="40"/>
      <c r="V19" s="41"/>
      <c r="W19" s="42">
        <f t="shared" si="1"/>
        <v>0</v>
      </c>
      <c r="X19" s="43">
        <f t="shared" si="2"/>
        <v>0</v>
      </c>
      <c r="Y19" s="43">
        <f t="shared" si="3"/>
        <v>0</v>
      </c>
    </row>
    <row r="20">
      <c r="A20" s="5" t="s">
        <v>413</v>
      </c>
      <c r="B20" s="40"/>
      <c r="C20" s="40"/>
      <c r="D20" s="40"/>
      <c r="E20" s="40"/>
      <c r="F20" s="40"/>
      <c r="G20" s="40"/>
      <c r="H20" s="40"/>
      <c r="I20" s="40"/>
      <c r="J20" s="40"/>
      <c r="K20" s="40"/>
      <c r="L20" s="40"/>
      <c r="M20" s="40"/>
      <c r="N20" s="40"/>
      <c r="O20" s="40"/>
      <c r="P20" s="40"/>
      <c r="Q20" s="40"/>
      <c r="R20" s="40"/>
      <c r="S20" s="40"/>
      <c r="T20" s="40"/>
      <c r="U20" s="40"/>
      <c r="V20" s="41"/>
      <c r="W20" s="42">
        <f t="shared" si="1"/>
        <v>0</v>
      </c>
      <c r="X20" s="43">
        <f t="shared" si="2"/>
        <v>0</v>
      </c>
      <c r="Y20" s="43">
        <f t="shared" si="3"/>
        <v>0</v>
      </c>
    </row>
    <row r="21">
      <c r="B21" s="45"/>
      <c r="C21" s="45"/>
      <c r="D21" s="45"/>
      <c r="E21" s="45"/>
      <c r="F21" s="45"/>
      <c r="G21" s="45"/>
      <c r="H21" s="45"/>
      <c r="I21" s="45"/>
      <c r="J21" s="45"/>
      <c r="K21" s="45"/>
      <c r="L21" s="45"/>
      <c r="M21" s="45"/>
      <c r="N21" s="45"/>
      <c r="O21" s="45"/>
      <c r="P21" s="45"/>
      <c r="Q21" s="45"/>
      <c r="R21" s="45"/>
      <c r="S21" s="45"/>
      <c r="T21" s="45"/>
      <c r="U21" s="45"/>
    </row>
    <row r="22">
      <c r="B22" s="45"/>
      <c r="C22" s="45"/>
      <c r="D22" s="45"/>
      <c r="E22" s="45"/>
      <c r="F22" s="45"/>
      <c r="G22" s="45"/>
      <c r="H22" s="45"/>
      <c r="I22" s="45"/>
      <c r="J22" s="45"/>
      <c r="K22" s="45"/>
      <c r="L22" s="45"/>
      <c r="M22" s="45"/>
      <c r="N22" s="45"/>
      <c r="O22" s="45"/>
      <c r="P22" s="45"/>
      <c r="Q22" s="45"/>
      <c r="R22" s="45"/>
      <c r="S22" s="45"/>
      <c r="T22" s="45"/>
      <c r="U22" s="45"/>
    </row>
    <row r="23">
      <c r="B23" s="45"/>
      <c r="C23" s="45"/>
      <c r="D23" s="45"/>
      <c r="E23" s="45"/>
      <c r="F23" s="45"/>
      <c r="G23" s="45"/>
      <c r="H23" s="45"/>
      <c r="I23" s="45"/>
      <c r="J23" s="45"/>
      <c r="K23" s="45"/>
      <c r="L23" s="45"/>
      <c r="M23" s="45"/>
      <c r="N23" s="45"/>
      <c r="O23" s="45"/>
      <c r="P23" s="45"/>
      <c r="Q23" s="45"/>
      <c r="R23" s="45"/>
      <c r="S23" s="45"/>
      <c r="T23" s="45"/>
      <c r="U23" s="45"/>
    </row>
    <row r="24">
      <c r="B24" s="45"/>
      <c r="C24" s="45"/>
      <c r="D24" s="45"/>
      <c r="E24" s="45"/>
      <c r="F24" s="45"/>
      <c r="G24" s="45"/>
      <c r="H24" s="45"/>
      <c r="I24" s="45"/>
      <c r="J24" s="45"/>
      <c r="K24" s="45"/>
      <c r="L24" s="45"/>
      <c r="M24" s="45"/>
      <c r="N24" s="45"/>
      <c r="O24" s="45"/>
      <c r="P24" s="45"/>
      <c r="Q24" s="45"/>
      <c r="R24" s="45"/>
      <c r="S24" s="45"/>
      <c r="T24" s="45"/>
      <c r="U24" s="45"/>
    </row>
    <row r="25">
      <c r="B25" s="45"/>
      <c r="C25" s="45"/>
      <c r="D25" s="45"/>
      <c r="E25" s="45"/>
      <c r="F25" s="45"/>
      <c r="G25" s="45"/>
      <c r="H25" s="45"/>
      <c r="I25" s="45"/>
      <c r="J25" s="45"/>
      <c r="K25" s="45"/>
      <c r="L25" s="45"/>
      <c r="M25" s="45"/>
      <c r="N25" s="45"/>
      <c r="O25" s="45"/>
      <c r="P25" s="45"/>
      <c r="Q25" s="45"/>
      <c r="R25" s="45"/>
      <c r="S25" s="45"/>
      <c r="T25" s="45"/>
      <c r="U25" s="45"/>
    </row>
    <row r="26">
      <c r="B26" s="45"/>
      <c r="C26" s="45"/>
      <c r="D26" s="45"/>
      <c r="E26" s="45"/>
      <c r="F26" s="45"/>
      <c r="G26" s="45"/>
      <c r="H26" s="45"/>
      <c r="I26" s="45"/>
      <c r="J26" s="45"/>
      <c r="K26" s="45"/>
      <c r="L26" s="45"/>
      <c r="M26" s="45"/>
      <c r="N26" s="45"/>
      <c r="O26" s="45"/>
      <c r="P26" s="45"/>
      <c r="Q26" s="45"/>
      <c r="R26" s="45"/>
      <c r="S26" s="45"/>
      <c r="T26" s="45"/>
      <c r="U26" s="45"/>
    </row>
    <row r="27">
      <c r="B27" s="45"/>
      <c r="C27" s="45"/>
      <c r="D27" s="45"/>
      <c r="E27" s="45"/>
      <c r="F27" s="45"/>
      <c r="G27" s="45"/>
      <c r="H27" s="45"/>
      <c r="I27" s="45"/>
      <c r="J27" s="45"/>
      <c r="K27" s="45"/>
      <c r="L27" s="45"/>
      <c r="M27" s="45"/>
      <c r="N27" s="45"/>
      <c r="O27" s="45"/>
      <c r="P27" s="45"/>
      <c r="Q27" s="45"/>
      <c r="R27" s="45"/>
      <c r="S27" s="45"/>
      <c r="T27" s="45"/>
      <c r="U27" s="45"/>
    </row>
    <row r="28">
      <c r="B28" s="45"/>
      <c r="C28" s="45"/>
      <c r="D28" s="45"/>
      <c r="E28" s="45"/>
      <c r="F28" s="45"/>
      <c r="G28" s="45"/>
      <c r="H28" s="45"/>
      <c r="I28" s="45"/>
      <c r="J28" s="45"/>
      <c r="K28" s="45"/>
      <c r="L28" s="45"/>
      <c r="M28" s="45"/>
      <c r="N28" s="45"/>
      <c r="O28" s="45"/>
      <c r="P28" s="45"/>
      <c r="Q28" s="45"/>
      <c r="R28" s="45"/>
      <c r="S28" s="45"/>
      <c r="T28" s="45"/>
      <c r="U28" s="45"/>
    </row>
    <row r="29">
      <c r="B29" s="45"/>
      <c r="C29" s="45"/>
      <c r="D29" s="45"/>
      <c r="E29" s="45"/>
      <c r="F29" s="45"/>
      <c r="G29" s="45"/>
      <c r="H29" s="45"/>
      <c r="I29" s="45"/>
      <c r="J29" s="45"/>
      <c r="K29" s="45"/>
      <c r="L29" s="45"/>
      <c r="M29" s="45"/>
      <c r="N29" s="45"/>
      <c r="O29" s="45"/>
      <c r="P29" s="45"/>
      <c r="Q29" s="45"/>
      <c r="R29" s="45"/>
      <c r="S29" s="45"/>
      <c r="T29" s="45"/>
      <c r="U29" s="45"/>
    </row>
    <row r="30">
      <c r="B30" s="45"/>
      <c r="C30" s="45"/>
      <c r="D30" s="45"/>
      <c r="E30" s="45"/>
      <c r="F30" s="45"/>
      <c r="G30" s="45"/>
      <c r="H30" s="45"/>
      <c r="I30" s="45"/>
      <c r="J30" s="45"/>
      <c r="K30" s="45"/>
      <c r="L30" s="45"/>
      <c r="M30" s="45"/>
      <c r="N30" s="45"/>
      <c r="O30" s="45"/>
      <c r="P30" s="45"/>
      <c r="Q30" s="45"/>
      <c r="R30" s="45"/>
      <c r="S30" s="45"/>
      <c r="T30" s="45"/>
      <c r="U30" s="45"/>
    </row>
    <row r="31">
      <c r="B31" s="45"/>
      <c r="C31" s="45"/>
      <c r="D31" s="45"/>
      <c r="E31" s="45"/>
      <c r="F31" s="45"/>
      <c r="G31" s="45"/>
      <c r="H31" s="45"/>
      <c r="I31" s="45"/>
      <c r="J31" s="45"/>
      <c r="K31" s="45"/>
      <c r="L31" s="45"/>
      <c r="M31" s="45"/>
      <c r="N31" s="45"/>
      <c r="O31" s="45"/>
      <c r="P31" s="45"/>
      <c r="Q31" s="45"/>
      <c r="R31" s="45"/>
      <c r="S31" s="45"/>
      <c r="T31" s="45"/>
      <c r="U31" s="45"/>
    </row>
    <row r="32">
      <c r="B32" s="45"/>
      <c r="C32" s="45"/>
      <c r="D32" s="45"/>
      <c r="E32" s="45"/>
      <c r="F32" s="45"/>
      <c r="G32" s="45"/>
      <c r="H32" s="45"/>
      <c r="I32" s="45"/>
      <c r="J32" s="45"/>
      <c r="K32" s="45"/>
      <c r="L32" s="45"/>
      <c r="M32" s="45"/>
      <c r="N32" s="45"/>
      <c r="O32" s="45"/>
      <c r="P32" s="45"/>
      <c r="Q32" s="45"/>
      <c r="R32" s="45"/>
      <c r="S32" s="45"/>
      <c r="T32" s="45"/>
      <c r="U32" s="45"/>
    </row>
    <row r="33">
      <c r="B33" s="45"/>
      <c r="C33" s="45"/>
      <c r="D33" s="45"/>
      <c r="E33" s="45"/>
      <c r="F33" s="45"/>
      <c r="G33" s="45"/>
      <c r="H33" s="45"/>
      <c r="I33" s="45"/>
      <c r="J33" s="45"/>
      <c r="K33" s="45"/>
      <c r="L33" s="45"/>
      <c r="M33" s="45"/>
      <c r="N33" s="45"/>
      <c r="O33" s="45"/>
      <c r="P33" s="45"/>
      <c r="Q33" s="45"/>
      <c r="R33" s="45"/>
      <c r="S33" s="45"/>
      <c r="T33" s="45"/>
      <c r="U33" s="45"/>
    </row>
    <row r="34">
      <c r="B34" s="45"/>
      <c r="C34" s="45"/>
      <c r="D34" s="45"/>
      <c r="E34" s="45"/>
      <c r="F34" s="45"/>
      <c r="G34" s="45"/>
      <c r="H34" s="45"/>
      <c r="I34" s="45"/>
      <c r="J34" s="45"/>
      <c r="K34" s="45"/>
      <c r="L34" s="45"/>
      <c r="M34" s="45"/>
      <c r="N34" s="45"/>
      <c r="O34" s="45"/>
      <c r="P34" s="45"/>
      <c r="Q34" s="45"/>
      <c r="R34" s="45"/>
      <c r="S34" s="45"/>
      <c r="T34" s="45"/>
      <c r="U34" s="45"/>
    </row>
    <row r="35">
      <c r="B35" s="45"/>
      <c r="C35" s="45"/>
      <c r="D35" s="45"/>
      <c r="E35" s="45"/>
      <c r="F35" s="45"/>
      <c r="G35" s="45"/>
      <c r="H35" s="45"/>
      <c r="I35" s="45"/>
      <c r="J35" s="45"/>
      <c r="K35" s="45"/>
      <c r="L35" s="45"/>
      <c r="M35" s="45"/>
      <c r="N35" s="45"/>
      <c r="O35" s="45"/>
      <c r="P35" s="45"/>
      <c r="Q35" s="45"/>
      <c r="R35" s="45"/>
      <c r="S35" s="45"/>
      <c r="T35" s="45"/>
      <c r="U35" s="45"/>
    </row>
    <row r="36">
      <c r="B36" s="45"/>
      <c r="C36" s="45"/>
      <c r="D36" s="45"/>
      <c r="E36" s="45"/>
      <c r="F36" s="45"/>
      <c r="G36" s="45"/>
      <c r="H36" s="45"/>
      <c r="I36" s="45"/>
      <c r="J36" s="45"/>
      <c r="K36" s="45"/>
      <c r="L36" s="45"/>
      <c r="M36" s="45"/>
      <c r="N36" s="45"/>
      <c r="O36" s="45"/>
      <c r="P36" s="45"/>
      <c r="Q36" s="45"/>
      <c r="R36" s="45"/>
      <c r="S36" s="45"/>
      <c r="T36" s="45"/>
      <c r="U36" s="45"/>
    </row>
    <row r="37">
      <c r="B37" s="45"/>
      <c r="C37" s="45"/>
      <c r="D37" s="45"/>
      <c r="E37" s="45"/>
      <c r="F37" s="45"/>
      <c r="G37" s="45"/>
      <c r="H37" s="45"/>
      <c r="I37" s="45"/>
      <c r="J37" s="45"/>
      <c r="K37" s="45"/>
      <c r="L37" s="45"/>
      <c r="M37" s="45"/>
      <c r="N37" s="45"/>
      <c r="O37" s="45"/>
      <c r="P37" s="45"/>
      <c r="Q37" s="45"/>
      <c r="R37" s="45"/>
      <c r="S37" s="45"/>
      <c r="T37" s="45"/>
      <c r="U37" s="45"/>
    </row>
    <row r="38">
      <c r="B38" s="45"/>
      <c r="C38" s="45"/>
      <c r="D38" s="45"/>
      <c r="E38" s="45"/>
      <c r="F38" s="45"/>
      <c r="G38" s="45"/>
      <c r="H38" s="45"/>
      <c r="I38" s="45"/>
      <c r="J38" s="45"/>
      <c r="K38" s="45"/>
      <c r="L38" s="45"/>
      <c r="M38" s="45"/>
      <c r="N38" s="45"/>
      <c r="O38" s="45"/>
      <c r="P38" s="45"/>
      <c r="Q38" s="45"/>
      <c r="R38" s="45"/>
      <c r="S38" s="45"/>
      <c r="T38" s="45"/>
      <c r="U38" s="45"/>
    </row>
    <row r="39">
      <c r="B39" s="45"/>
      <c r="C39" s="45"/>
      <c r="D39" s="45"/>
      <c r="E39" s="45"/>
      <c r="F39" s="45"/>
      <c r="G39" s="45"/>
      <c r="H39" s="45"/>
      <c r="I39" s="45"/>
      <c r="J39" s="45"/>
      <c r="K39" s="45"/>
      <c r="L39" s="45"/>
      <c r="M39" s="45"/>
      <c r="N39" s="45"/>
      <c r="O39" s="45"/>
      <c r="P39" s="45"/>
      <c r="Q39" s="45"/>
      <c r="R39" s="45"/>
      <c r="S39" s="45"/>
      <c r="T39" s="45"/>
      <c r="U39" s="45"/>
    </row>
    <row r="40">
      <c r="B40" s="45"/>
      <c r="C40" s="45"/>
      <c r="D40" s="45"/>
      <c r="E40" s="45"/>
      <c r="F40" s="45"/>
      <c r="G40" s="45"/>
      <c r="H40" s="45"/>
      <c r="I40" s="45"/>
      <c r="J40" s="45"/>
      <c r="K40" s="45"/>
      <c r="L40" s="45"/>
      <c r="M40" s="45"/>
      <c r="N40" s="45"/>
      <c r="O40" s="45"/>
      <c r="P40" s="45"/>
      <c r="Q40" s="45"/>
      <c r="R40" s="45"/>
      <c r="S40" s="45"/>
      <c r="T40" s="45"/>
      <c r="U40" s="45"/>
    </row>
    <row r="41">
      <c r="B41" s="45"/>
      <c r="C41" s="45"/>
      <c r="D41" s="45"/>
      <c r="E41" s="45"/>
      <c r="F41" s="45"/>
      <c r="G41" s="45"/>
      <c r="H41" s="45"/>
      <c r="I41" s="45"/>
      <c r="J41" s="45"/>
      <c r="K41" s="45"/>
      <c r="L41" s="45"/>
      <c r="M41" s="45"/>
      <c r="N41" s="45"/>
      <c r="O41" s="45"/>
      <c r="P41" s="45"/>
      <c r="Q41" s="45"/>
      <c r="R41" s="45"/>
      <c r="S41" s="45"/>
      <c r="T41" s="45"/>
      <c r="U41" s="45"/>
    </row>
    <row r="42">
      <c r="B42" s="45"/>
      <c r="C42" s="45"/>
      <c r="D42" s="45"/>
      <c r="E42" s="45"/>
      <c r="F42" s="45"/>
      <c r="G42" s="45"/>
      <c r="H42" s="45"/>
      <c r="I42" s="45"/>
      <c r="J42" s="45"/>
      <c r="K42" s="45"/>
      <c r="L42" s="45"/>
      <c r="M42" s="45"/>
      <c r="N42" s="45"/>
      <c r="O42" s="45"/>
      <c r="P42" s="45"/>
      <c r="Q42" s="45"/>
      <c r="R42" s="45"/>
      <c r="S42" s="45"/>
      <c r="T42" s="45"/>
      <c r="U42" s="45"/>
    </row>
    <row r="43">
      <c r="B43" s="45"/>
      <c r="C43" s="45"/>
      <c r="D43" s="45"/>
      <c r="E43" s="45"/>
      <c r="F43" s="45"/>
      <c r="G43" s="45"/>
      <c r="H43" s="45"/>
      <c r="I43" s="45"/>
      <c r="J43" s="45"/>
      <c r="K43" s="45"/>
      <c r="L43" s="45"/>
      <c r="M43" s="45"/>
      <c r="N43" s="45"/>
      <c r="O43" s="45"/>
      <c r="P43" s="45"/>
      <c r="Q43" s="45"/>
      <c r="R43" s="45"/>
      <c r="S43" s="45"/>
      <c r="T43" s="45"/>
      <c r="U43" s="45"/>
    </row>
    <row r="44">
      <c r="B44" s="45"/>
      <c r="C44" s="45"/>
      <c r="D44" s="45"/>
      <c r="E44" s="45"/>
      <c r="F44" s="45"/>
      <c r="G44" s="45"/>
      <c r="H44" s="45"/>
      <c r="I44" s="45"/>
      <c r="J44" s="45"/>
      <c r="K44" s="45"/>
      <c r="L44" s="45"/>
      <c r="M44" s="45"/>
      <c r="N44" s="45"/>
      <c r="O44" s="45"/>
      <c r="P44" s="45"/>
      <c r="Q44" s="45"/>
      <c r="R44" s="45"/>
      <c r="S44" s="45"/>
      <c r="T44" s="45"/>
      <c r="U44" s="45"/>
    </row>
    <row r="45">
      <c r="B45" s="45"/>
      <c r="C45" s="45"/>
      <c r="D45" s="45"/>
      <c r="E45" s="45"/>
      <c r="F45" s="45"/>
      <c r="G45" s="45"/>
      <c r="H45" s="45"/>
      <c r="I45" s="45"/>
      <c r="J45" s="45"/>
      <c r="K45" s="45"/>
      <c r="L45" s="45"/>
      <c r="M45" s="45"/>
      <c r="N45" s="45"/>
      <c r="O45" s="45"/>
      <c r="P45" s="45"/>
      <c r="Q45" s="45"/>
      <c r="R45" s="45"/>
      <c r="S45" s="45"/>
      <c r="T45" s="45"/>
      <c r="U45" s="45"/>
    </row>
    <row r="46">
      <c r="B46" s="45"/>
      <c r="C46" s="45"/>
      <c r="D46" s="45"/>
      <c r="E46" s="45"/>
      <c r="F46" s="45"/>
      <c r="G46" s="45"/>
      <c r="H46" s="45"/>
      <c r="I46" s="45"/>
      <c r="J46" s="45"/>
      <c r="K46" s="45"/>
      <c r="L46" s="45"/>
      <c r="M46" s="45"/>
      <c r="N46" s="45"/>
      <c r="O46" s="45"/>
      <c r="P46" s="45"/>
      <c r="Q46" s="45"/>
      <c r="R46" s="45"/>
      <c r="S46" s="45"/>
      <c r="T46" s="45"/>
      <c r="U46" s="45"/>
    </row>
    <row r="47">
      <c r="B47" s="45"/>
      <c r="C47" s="45"/>
      <c r="D47" s="45"/>
      <c r="E47" s="45"/>
      <c r="F47" s="45"/>
      <c r="G47" s="45"/>
      <c r="H47" s="45"/>
      <c r="I47" s="45"/>
      <c r="J47" s="45"/>
      <c r="K47" s="45"/>
      <c r="L47" s="45"/>
      <c r="M47" s="45"/>
      <c r="N47" s="45"/>
      <c r="O47" s="45"/>
      <c r="P47" s="45"/>
      <c r="Q47" s="45"/>
      <c r="R47" s="45"/>
      <c r="S47" s="45"/>
      <c r="T47" s="45"/>
      <c r="U47" s="45"/>
    </row>
    <row r="48">
      <c r="B48" s="45"/>
      <c r="C48" s="45"/>
      <c r="D48" s="45"/>
      <c r="E48" s="45"/>
      <c r="F48" s="45"/>
      <c r="G48" s="45"/>
      <c r="H48" s="45"/>
      <c r="I48" s="45"/>
      <c r="J48" s="45"/>
      <c r="K48" s="45"/>
      <c r="L48" s="45"/>
      <c r="M48" s="45"/>
      <c r="N48" s="45"/>
      <c r="O48" s="45"/>
      <c r="P48" s="45"/>
      <c r="Q48" s="45"/>
      <c r="R48" s="45"/>
      <c r="S48" s="45"/>
      <c r="T48" s="45"/>
      <c r="U48" s="45"/>
    </row>
    <row r="49">
      <c r="B49" s="45"/>
      <c r="C49" s="45"/>
      <c r="D49" s="45"/>
      <c r="E49" s="45"/>
      <c r="F49" s="45"/>
      <c r="G49" s="45"/>
      <c r="H49" s="45"/>
      <c r="I49" s="45"/>
      <c r="J49" s="45"/>
      <c r="K49" s="45"/>
      <c r="L49" s="45"/>
      <c r="M49" s="45"/>
      <c r="N49" s="45"/>
      <c r="O49" s="45"/>
      <c r="P49" s="45"/>
      <c r="Q49" s="45"/>
      <c r="R49" s="45"/>
      <c r="S49" s="45"/>
      <c r="T49" s="45"/>
      <c r="U49" s="45"/>
    </row>
    <row r="50">
      <c r="B50" s="45"/>
      <c r="C50" s="45"/>
      <c r="D50" s="45"/>
      <c r="E50" s="45"/>
      <c r="F50" s="45"/>
      <c r="G50" s="45"/>
      <c r="H50" s="45"/>
      <c r="I50" s="45"/>
      <c r="J50" s="45"/>
      <c r="K50" s="45"/>
      <c r="L50" s="45"/>
      <c r="M50" s="45"/>
      <c r="N50" s="45"/>
      <c r="O50" s="45"/>
      <c r="P50" s="45"/>
      <c r="Q50" s="45"/>
      <c r="R50" s="45"/>
      <c r="S50" s="45"/>
      <c r="T50" s="45"/>
      <c r="U50" s="45"/>
    </row>
    <row r="51">
      <c r="B51" s="45"/>
      <c r="C51" s="45"/>
      <c r="D51" s="45"/>
      <c r="E51" s="45"/>
      <c r="F51" s="45"/>
      <c r="G51" s="45"/>
      <c r="H51" s="45"/>
      <c r="I51" s="45"/>
      <c r="J51" s="45"/>
      <c r="K51" s="45"/>
      <c r="L51" s="45"/>
      <c r="M51" s="45"/>
      <c r="N51" s="45"/>
      <c r="O51" s="45"/>
      <c r="P51" s="45"/>
      <c r="Q51" s="45"/>
      <c r="R51" s="45"/>
      <c r="S51" s="45"/>
      <c r="T51" s="45"/>
      <c r="U51" s="45"/>
    </row>
  </sheetData>
  <mergeCells count="8">
    <mergeCell ref="A1:B1"/>
    <mergeCell ref="B2:H2"/>
    <mergeCell ref="B3:D3"/>
    <mergeCell ref="B4:F4"/>
    <mergeCell ref="B5:G5"/>
    <mergeCell ref="Q6:U6"/>
    <mergeCell ref="W6:X6"/>
    <mergeCell ref="A15:B15"/>
  </mergeCells>
  <drawing r:id="rId1"/>
</worksheet>
</file>